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Default ContentType="image/x-wmf" Extension="wmf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<sst xmlns="http://schemas.openxmlformats.org/spreadsheetml/2006/main" xmlns:a="http://schemas.openxmlformats.org/drawingml/2006/main" xmlns:a15="http://schemas.microsoft.com/office/drawing/2012/main" xmlns:asvg="http://schemas.microsoft.com/office/drawing/2016/SVG/main" xmlns:c="http://schemas.openxmlformats.org/drawingml/2006/chart" xmlns:co="http://ncloudtech.com" xmlns:co-ooxml="http://ncloudtech.com/ooxml" xmlns:m="http://schemas.openxmlformats.org/officeDocument/2006/math" xmlns:mc="http://schemas.openxmlformats.org/markup-compatibility/2006" xmlns:o="urn:schemas-microsoft-com:office:office" xmlns:p="http://schemas.openxmlformats.org/presentationml/2006/main" xmlns:pic="http://schemas.openxmlformats.org/drawingml/2006/picture" xmlns:r="http://schemas.openxmlformats.org/officeDocument/2006/relationships" xmlns:s="http://schemas.openxmlformats.org/officeDocument/2006/sharedTypes" xmlns:sl="http://schemas.openxmlformats.org/schemaLibrary/2006/main" xmlns:v="urn:schemas-microsoft-com:vml" xmlns:w="http://schemas.openxmlformats.org/wordprocessingml/2006/main" xmlns:w10="urn:schemas-microsoft-com:office:word" xmlns:w14="http://schemas.microsoft.com/office/word/2010/wordml" xmlns:w15="http://schemas.microsoft.com/office/word/2012/wordml" xmlns:wp="http://schemas.openxmlformats.org/drawingml/2006/wordprocessingDrawing" xmlns:wpg="http://schemas.microsoft.com/office/word/2010/wordprocessingGroup" xmlns:wps="http://schemas.microsoft.com/office/word/2010/wordprocessingShape" xmlns:x="urn:schemas-microsoft-com:office:excel" xmlns:x12ac="http://schemas.microsoft.com/office/spreadsheetml/2011/1/ac" xmlns:x14="http://schemas.microsoft.com/office/spreadsheetml/2009/9/main" xmlns:xdr="http://schemas.openxmlformats.org/drawingml/2006/spreadsheetDrawing" xmlns:xm="http://schemas.microsoft.com/office/excel/2006/main" mc:Ignorable="co co-ooxml w14 x14 w15">
  <si>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Заказчик:</t>
  </si>
  <si>
    <r>
      <t xml:space="preserve">Начальная (максимальная) цена контракта (НМЦК) определена методом сопоставимых рыночных цен (анализа рынка) путем суммирования начальных (максимальных) цен товаров, работ, услуг по позициям (НМЦтру), рассчитаным в соответствии с приказом Министерства экономического развития Российской Федерации от 2 октября 2013 года 
</t>
    </r>
    <r>
      <t xml:space="preserve">№ 567 «Об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исполнителем)» по следующей формуле:
</t>
    </r>
  </si>
  <si>
    <t>В случае, если закупке будет подлежать одна позиция товаров, работ, услуг, то начальная (максимальная) цена товара, работы, услуги по позиции (НМЦтру) будет являться начальной (максимальной) ценой контракта (НМЦК).</t>
  </si>
  <si>
    <t>исполнитель: Ярошок Елена Алексеевна</t>
  </si>
  <si>
    <t>контактный телефон: (886138)-7-39-97</t>
  </si>
  <si>
    <r>
      <rPr>
        <rFont val="Times New Roman"/>
        <b val="true"/>
        <color rgb="000000" tint="0"/>
        <sz val="14"/>
      </rPr>
      <t>Используемый метод определения начальной (максимальной) цены контракта</t>
    </r>
    <r>
      <rPr>
        <rFont val="Times New Roman"/>
        <b val="false"/>
        <color rgb="000000" tint="0"/>
        <sz val="14"/>
      </rPr>
      <t xml:space="preserve">: метод сопоставимых рыночных цен (анализа рынка)
</t>
    </r>
  </si>
  <si>
    <t xml:space="preserve">Поставка бумаги для офисной техники </t>
  </si>
  <si>
    <t>ГОСУДАРСТВЕННОЕ БЮДЖЕТНОЕ УЧРЕЖДЕНИЕ ЗДРАВООХРАНЕНИЯ "ГОРОДСКАЯ БОЛЬНИЦА ГОРОДА КРОПОТКИНА" МИНИСТЕРСТВА ЗДРАВООХРАНЕНИЯ КРАСНОДАРСКОГО КРАЯ</t>
  </si>
  <si>
    <r>
      <t>Дата подготовки обоснования начальной (максимальной) цены контракта:</t>
    </r>
    <r>
      <rPr>
        <rFont val="Times New Roman"/>
        <b val="false"/>
        <sz val="14"/>
      </rPr>
      <t xml:space="preserve"> </t>
    </r>
    <r>
      <rPr>
        <rFont val="Times New Roman"/>
        <b val="true"/>
        <sz val="14"/>
      </rPr>
      <t>20.07.2026 г.</t>
    </r>
  </si>
  <si>
    <r>
      <rPr>
        <rFont val="Times New Roman"/>
        <sz val="14"/>
        <u val="single"/>
      </rPr>
      <t xml:space="preserve">Главный врач
</t>
    </r>
    <r>
      <rPr>
        <rFont val="Times New Roman"/>
        <sz val="14"/>
      </rPr>
      <t>(должность)</t>
    </r>
  </si>
  <si>
    <t>где:</t>
  </si>
  <si>
    <r>
      <t xml:space="preserve">Порядковый номер позиции согласно описанию объекта закупки
</t>
    </r>
  </si>
  <si>
    <t>n - количество значений, используемых в расчете;</t>
  </si>
  <si>
    <r>
      <t xml:space="preserve">Обоснование начальной (максимальной) цены контракта 
</t>
    </r>
  </si>
  <si>
    <r>
      <t xml:space="preserve">Таблица 
</t>
    </r>
    <r>
      <t xml:space="preserve">определения начальной (максимальной) цены контракта </t>
    </r>
  </si>
  <si>
    <r>
      <t xml:space="preserve">__________________ 
</t>
    </r>
    <r>
      <t>(подпись)</t>
    </r>
  </si>
  <si>
    <r>
      <rPr>
        <rFont val="Times New Roman"/>
        <b val="true"/>
        <color rgb="000000" tint="0"/>
        <sz val="14"/>
      </rPr>
      <t>Обоснование выбранного метода определения начальной (максимальной) цены контракта:</t>
    </r>
    <r>
      <rPr>
        <rFont val="Times New Roman"/>
        <b val="false"/>
        <color rgb="000000" tint="0"/>
        <sz val="14"/>
      </rPr>
      <t xml:space="preserve"> метод сопоставимых рыночных цен (анализа рынка) является приоритетным для определения и обоснования начальной (максимальной) цены контракта в соответствии с ч. 6 ст. 22 Федерального закона от 05.04.2013 № 44-ФЗ "О контрактной системе в сфере закупок товаров, работ, услуг для обеспечения государственных и муниципальных нужд".</t>
    </r>
  </si>
  <si>
    <t>i - номер источника ценовой информации;</t>
  </si>
  <si>
    <r>
      <t xml:space="preserve">
</t>
    </r>
    <r>
      <t>Наименование товара</t>
    </r>
  </si>
  <si>
    <t>Начальная (максимальная) цена контракта (НМЦК), руб.:</t>
  </si>
  <si>
    <r>
      <t xml:space="preserve">
</t>
    </r>
    <r>
      <t>Основные характеристики товара</t>
    </r>
  </si>
  <si>
    <r>
      <rPr>
        <rFont val="Times New Roman"/>
        <sz val="14"/>
      </rPr>
      <t>ц</t>
    </r>
    <r>
      <rPr>
        <rFont val="Times New Roman"/>
        <sz val="8"/>
      </rPr>
      <t xml:space="preserve">i </t>
    </r>
    <r>
      <rPr>
        <rFont val="Times New Roman"/>
        <sz val="14"/>
      </rPr>
      <t xml:space="preserve"> - цена единицы товара, работы, услуги, представленная в источнике с номером i, скорректированная с учетом коэффициентов (индексов), применяемых для пересчета цен 
</t>
    </r>
    <r>
      <rPr>
        <rFont val="Times New Roman"/>
        <sz val="14"/>
      </rPr>
      <t>товаров, работ, услуг с учетом различий в характеристиках товаров, коммерческих и (или) финансовых условий поставок товаров, выполнения работ, оказания услуг.</t>
    </r>
  </si>
  <si>
    <r>
      <t xml:space="preserve">
</t>
    </r>
    <r>
      <t>Ед. изм</t>
    </r>
  </si>
  <si>
    <r>
      <rPr>
        <rFont val="Times New Roman"/>
        <sz val="14"/>
        <u val="single"/>
      </rPr>
      <t>Грекова Е.Л</t>
    </r>
    <r>
      <rPr>
        <rFont val="Times New Roman"/>
        <sz val="14"/>
      </rPr>
      <t xml:space="preserve">.
</t>
    </r>
    <r>
      <rPr>
        <rFont val="Times New Roman"/>
        <sz val="14"/>
      </rPr>
      <t>(расшифровка подписи)</t>
    </r>
  </si>
  <si>
    <t>Бумага для офисной техники</t>
  </si>
  <si>
    <r>
      <t xml:space="preserve">
</t>
    </r>
    <r>
      <t>Кол-во</t>
    </r>
  </si>
  <si>
    <t xml:space="preserve">                                         - средняя арифметическая цена за единицу товара, работы, услуги по позиции в денежном выражении;</t>
  </si>
  <si>
    <t>Источник ценовой информации</t>
  </si>
  <si>
    <r>
      <t xml:space="preserve">Марка бумаги, не ниже В
</t>
    </r>
    <r>
      <t xml:space="preserve">Формат A4
</t>
    </r>
    <r>
      <t>Количество листов в пачке, штука ≥ 500</t>
    </r>
  </si>
  <si>
    <t>пачка</t>
  </si>
  <si>
    <t>v - количество (объем) закупаемого товара (работы, услуги);</t>
  </si>
  <si>
    <t>Однородность совокупности значений выявленных цен</t>
  </si>
  <si>
    <r>
      <t xml:space="preserve">№ 1 
</t>
    </r>
    <r>
      <t>(вх. № 239 от 20.07.2026)</t>
    </r>
  </si>
  <si>
    <t>Цена за единицу, руб.</t>
  </si>
  <si>
    <r>
      <t xml:space="preserve">№ 2
</t>
    </r>
    <r>
      <t>(вх. № 240 от 20.07.2026)</t>
    </r>
  </si>
  <si>
    <r>
      <rPr>
        <rFont val="Times New Roman"/>
        <color rgb="000000" tint="0"/>
        <sz val="11"/>
      </rPr>
      <t>Начальная (максимальная) цена товара, работы, услуги по позиции НМЦ</t>
    </r>
    <r>
      <rPr>
        <rFont val="Times New Roman"/>
        <color rgb="000000" tint="0"/>
        <sz val="10"/>
      </rPr>
      <t>тру</t>
    </r>
    <r>
      <rPr>
        <rFont val="Times New Roman"/>
        <color rgb="000000" tint="0"/>
        <sz val="11"/>
      </rPr>
      <t xml:space="preserve">, руб.
</t>
    </r>
  </si>
  <si>
    <r>
      <t xml:space="preserve">№ 3 
</t>
    </r>
    <r>
      <t>(вх. № 241 от 20.07.2026)</t>
    </r>
  </si>
  <si>
    <r>
      <t xml:space="preserve">Средняя арифметическая цена за единицу (с округлением  до сотых долей после запятой)   
</t>
    </r>
    <r>
      <t xml:space="preserve"> &lt;ц&gt; , руб.</t>
    </r>
  </si>
  <si>
    <r>
      <rPr>
        <rFont val="Times New Roman"/>
        <color rgb="000000" tint="0"/>
        <sz val="11"/>
      </rPr>
      <t xml:space="preserve">Среднее квадратичное отклонение     
</t>
    </r>
    <r>
      <rPr>
        <rFont val="Times New Roman"/>
        <color rgb="000000" tint="0"/>
        <sz val="11"/>
      </rPr>
      <t xml:space="preserve">     
</t>
    </r>
    <r>
      <rPr>
        <rFont val="Times New Roman"/>
        <color rgb="000000" tint="0"/>
        <sz val="11"/>
      </rPr>
      <t>ц</t>
    </r>
    <r>
      <rPr>
        <rFont val="Times New Roman"/>
        <color rgb="000000" tint="0"/>
        <sz val="8"/>
      </rPr>
      <t xml:space="preserve">i </t>
    </r>
    <r>
      <rPr>
        <rFont val="Times New Roman"/>
        <color rgb="000000" tint="0"/>
        <sz val="11"/>
      </rPr>
      <t xml:space="preserve">- цена единицы товара, работы, услуги, указанная в источнике с номером i;
</t>
    </r>
    <r>
      <rPr>
        <rFont val="Times New Roman"/>
        <color rgb="000000" tint="0"/>
        <sz val="11"/>
      </rPr>
      <t xml:space="preserve">&lt;ц&gt; - средняя арифметическая величина цены единицы товара, работы, услуги;
</t>
    </r>
    <r>
      <rPr>
        <rFont val="Times New Roman"/>
        <color rgb="000000" tint="0"/>
        <sz val="11"/>
      </rPr>
      <t>n - количество значений, используемых в расчете</t>
    </r>
  </si>
  <si>
    <r>
      <rPr>
        <rFont val="Times New Roman"/>
        <color rgb="000000" tint="0"/>
        <sz val="11"/>
      </rPr>
      <t xml:space="preserve">Коэффициент вариации цен (%)
</t>
    </r>
    <r>
      <rPr>
        <rFont val="Times New Roman"/>
        <i val="true"/>
        <color rgb="000000" tint="0"/>
        <sz val="11"/>
      </rPr>
      <t>не должен превышать 33%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</si>
</sst>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#,##0.00" formatCode="#,##0.00" numFmtId="1001"/>
    <numFmt co:extendedFormatCode="#,##0.00 _₽" formatCode="#,##0.00 _₽" numFmtId="1002"/>
  </numFmts>
  <fonts count="16">
    <font>
      <name val="Calibri"/>
      <sz val="11"/>
    </font>
    <font>
      <name val="Arial Cyr"/>
      <sz val="10"/>
    </font>
    <font>
      <name val="Times New Roman"/>
      <sz val="14"/>
    </font>
    <font>
      <name val="Times New Roman"/>
      <color theme="1" tint="0"/>
      <sz val="14"/>
    </font>
    <font>
      <name val="Times New Roman"/>
      <b val="true"/>
      <color theme="1" tint="0"/>
      <sz val="14"/>
    </font>
    <font>
      <name val="Times New Roman"/>
      <sz val="12"/>
    </font>
    <font>
      <name val="Times New Roman"/>
      <b val="true"/>
      <color rgb="000000" tint="0"/>
      <sz val="14"/>
    </font>
    <font>
      <name val="Times New Roman"/>
      <sz val="10"/>
    </font>
    <font>
      <name val="Times New Roman"/>
      <b val="true"/>
      <sz val="14"/>
    </font>
    <font>
      <name val="Times New Roman"/>
      <color rgb="000000" tint="0"/>
      <sz val="12"/>
    </font>
    <font>
      <name val="Times New Roman"/>
      <sz val="11"/>
    </font>
    <font>
      <name val="Times New Roman"/>
      <b val="true"/>
      <color theme="1" tint="0"/>
      <sz val="16"/>
    </font>
    <font>
      <name val="Times New Roman"/>
      <b val="true"/>
      <sz val="16"/>
    </font>
    <font>
      <name val="Times New Roman"/>
      <b val="true"/>
      <color rgb="000000" tint="0"/>
      <sz val="12"/>
    </font>
    <font>
      <name val="Times New Roman"/>
      <color rgb="000000" tint="0"/>
      <sz val="11"/>
    </font>
    <font>
      <name val="Times New Roman"/>
      <b val="true"/>
      <sz val="12"/>
    </font>
  </fonts>
  <fills count="6">
    <fill>
      <patternFill patternType="none"/>
    </fill>
    <fill>
      <patternFill patternType="gray125"/>
    </fill>
    <fill>
      <patternFill patternType="solid">
        <fgColor theme="0" tint="0"/>
      </patternFill>
    </fill>
    <fill>
      <patternFill patternType="solid">
        <fgColor rgb="FFFFFF" tint="0"/>
      </patternFill>
    </fill>
    <fill>
      <patternFill patternType="solid">
        <fgColor theme="0" tint="0"/>
      </patternFill>
    </fill>
    <fill>
      <patternFill patternType="solid">
        <fgColor theme="0" tint="0"/>
      </patternFill>
    </fill>
  </fills>
  <borders count="35">
    <border>
      <left style="none"/>
      <right style="none"/>
      <top style="none"/>
      <bottom style="none"/>
      <diagonal style="none"/>
    </border>
    <border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</borders>
  <cellStyleXfs count="1">
    <xf applyBorder="false" applyFill="false" applyFont="false" applyNumberFormat="true" borderId="0" fillId="0" fontId="1" numFmtId="1000" quotePrefix="false"/>
  </cellStyleXfs>
  <cellXfs count="73">
    <xf applyBorder="false" applyFill="false" applyFont="false" applyNumberFormat="true" borderId="0" fillId="0" fontId="1" numFmtId="1000" quotePrefix="false"/>
    <xf applyBorder="false" applyFill="false" applyFont="true" applyNumberFormat="true" borderId="0" fillId="0" fontId="2" numFmtId="1000" quotePrefix="false"/>
    <xf applyBorder="false" applyFill="true" applyFont="true" applyNumberFormat="true" borderId="0" fillId="2" fontId="3" numFmtId="1000" quotePrefix="false"/>
    <xf applyAlignment="true" applyBorder="false" applyFill="false" applyFont="true" applyNumberFormat="true" borderId="0" fillId="0" fontId="2" numFmtId="1000" quotePrefix="false">
      <alignment horizontal="left" vertical="center"/>
    </xf>
    <xf applyAlignment="true" applyBorder="true" applyFill="false" applyFont="true" applyNumberFormat="true" borderId="1" fillId="0" fontId="2" numFmtId="1000" quotePrefix="false">
      <alignment horizontal="center"/>
    </xf>
    <xf applyAlignment="true" applyBorder="false" applyFill="false" applyFont="true" applyNumberFormat="true" borderId="0" fillId="0" fontId="2" numFmtId="1000" quotePrefix="false">
      <alignment horizontal="left" vertical="top" wrapText="true"/>
    </xf>
    <xf applyAlignment="true" applyBorder="false" applyFill="true" applyFont="true" applyNumberFormat="true" borderId="0" fillId="2" fontId="4" numFmtId="1001" quotePrefix="false">
      <alignment horizontal="left" vertical="center" wrapText="true"/>
    </xf>
    <xf applyAlignment="true" applyBorder="false" applyFill="false" applyFont="true" applyNumberFormat="true" borderId="0" fillId="0" fontId="5" numFmtId="1000" quotePrefix="false">
      <alignment horizontal="left" vertical="center"/>
    </xf>
    <xf applyAlignment="true" applyBorder="false" applyFill="false" applyFont="true" applyNumberFormat="true" borderId="0" fillId="0" fontId="6" numFmtId="1000" quotePrefix="false">
      <alignment horizontal="left" vertical="top" wrapText="true"/>
    </xf>
    <xf applyAlignment="true" applyBorder="false" applyFill="false" applyFont="true" applyNumberFormat="true" borderId="0" fillId="0" fontId="2" numFmtId="1000" quotePrefix="false">
      <alignment horizontal="center" vertical="center"/>
    </xf>
    <xf applyAlignment="true" applyBorder="false" applyFill="true" applyFont="true" applyNumberFormat="true" borderId="0" fillId="3" fontId="6" numFmtId="1000" quotePrefix="false">
      <alignment horizontal="center" vertical="center"/>
    </xf>
    <xf applyAlignment="true" applyBorder="false" applyFill="true" applyFont="true" applyNumberFormat="true" borderId="0" fillId="4" fontId="3" numFmtId="1001" quotePrefix="false">
      <alignment horizontal="left" vertical="center" wrapText="true"/>
    </xf>
    <xf applyBorder="false" applyFill="true" applyFont="true" applyNumberFormat="true" borderId="0" fillId="2" fontId="2" numFmtId="1000" quotePrefix="false"/>
    <xf applyAlignment="true" applyBorder="false" applyFill="false" applyFont="true" applyNumberFormat="true" borderId="0" fillId="0" fontId="2" numFmtId="1000" quotePrefix="false">
      <alignment vertical="top"/>
    </xf>
    <xf applyBorder="false" applyFill="false" applyFont="true" applyNumberFormat="true" borderId="0" fillId="0" fontId="7" numFmtId="1000" quotePrefix="false"/>
    <xf applyAlignment="true" applyBorder="false" applyFill="true" applyFont="true" applyNumberFormat="true" borderId="0" fillId="4" fontId="8" numFmtId="1000" quotePrefix="false">
      <alignment horizontal="left"/>
    </xf>
    <xf applyAlignment="true" applyBorder="false" applyFill="false" applyFont="true" applyNumberFormat="true" borderId="0" fillId="0" fontId="9" numFmtId="1000" quotePrefix="false">
      <alignment horizontal="left" vertical="top"/>
    </xf>
    <xf applyAlignment="true" applyBorder="false" applyFill="false" applyFont="true" applyNumberFormat="true" borderId="0" fillId="0" fontId="2" numFmtId="1000" quotePrefix="false">
      <alignment horizontal="left" vertical="top"/>
    </xf>
    <xf applyAlignment="true" applyBorder="false" applyFill="true" applyFont="true" applyNumberFormat="true" borderId="0" fillId="4" fontId="2" numFmtId="1000" quotePrefix="false">
      <alignment horizontal="left" vertical="center" wrapText="true"/>
    </xf>
    <xf applyAlignment="true" applyBorder="true" applyFill="false" applyFont="true" applyNumberFormat="true" borderId="2" fillId="0" fontId="7" numFmtId="1000" quotePrefix="false">
      <alignment horizontal="center" vertical="top"/>
    </xf>
    <xf applyAlignment="true" applyBorder="false" applyFill="false" applyFont="true" applyNumberFormat="true" borderId="0" fillId="0" fontId="2" numFmtId="1000" quotePrefix="false">
      <alignment horizontal="left" vertical="center" wrapText="true"/>
    </xf>
    <xf applyAlignment="true" applyBorder="true" applyFill="false" applyFont="true" applyNumberFormat="true" borderId="2" fillId="0" fontId="10" numFmtId="1000" quotePrefix="false">
      <alignment horizontal="center" vertical="center" wrapText="true"/>
    </xf>
    <xf applyAlignment="true" applyBorder="false" applyFill="false" applyFont="true" applyNumberFormat="true" borderId="0" fillId="0" fontId="12" numFmtId="1000" quotePrefix="false">
      <alignment horizontal="center" wrapText="true"/>
    </xf>
    <xf applyAlignment="true" applyBorder="false" applyFill="true" applyFont="true" applyNumberFormat="true" borderId="0" fillId="2" fontId="11" numFmtId="1000" quotePrefix="false">
      <alignment horizontal="center"/>
    </xf>
    <xf applyAlignment="true" applyBorder="false" applyFill="true" applyFont="true" applyNumberFormat="true" borderId="0" fillId="4" fontId="2" numFmtId="1000" quotePrefix="false">
      <alignment horizontal="center" vertical="center" wrapText="true"/>
    </xf>
    <xf applyAlignment="true" applyBorder="false" applyFill="false" applyFont="true" applyNumberFormat="true" borderId="0" fillId="0" fontId="13" numFmtId="1000" quotePrefix="false">
      <alignment horizontal="center" vertical="center" wrapText="true"/>
    </xf>
    <xf applyAlignment="true" applyBorder="true" applyFill="false" applyFont="true" applyNumberFormat="true" borderId="2" fillId="0" fontId="14" numFmtId="1000" quotePrefix="false">
      <alignment horizontal="center" vertical="center" wrapText="true"/>
    </xf>
    <xf applyAlignment="true" applyBorder="true" applyFill="false" applyFont="true" applyNumberFormat="true" borderId="2" fillId="0" fontId="15" numFmtId="1000" quotePrefix="false">
      <alignment horizontal="right" vertical="center" wrapText="true"/>
    </xf>
    <xf applyAlignment="true" applyBorder="true" applyFill="true" applyFont="true" applyNumberFormat="true" borderId="2" fillId="3" fontId="14" numFmtId="1000" quotePrefix="false">
      <alignment horizontal="center" vertical="center" wrapText="true"/>
    </xf>
    <xf applyAlignment="true" applyBorder="false" applyFill="false" applyFont="true" applyNumberFormat="true" borderId="0" fillId="0" fontId="2" numFmtId="1000" quotePrefix="false">
      <alignment horizontal="left" wrapText="true"/>
    </xf>
    <xf applyAlignment="true" applyBorder="true" applyFill="false" applyFont="true" applyNumberFormat="true" borderId="3" fillId="0" fontId="15" numFmtId="1000" quotePrefix="false">
      <alignment horizontal="right" vertical="center" wrapText="true"/>
    </xf>
    <xf applyAlignment="true" applyBorder="true" applyFill="false" applyFont="true" applyNumberFormat="true" borderId="2" fillId="0" fontId="5" numFmtId="1000" quotePrefix="false">
      <alignment horizontal="center" vertical="center"/>
    </xf>
    <xf applyAlignment="true" applyBorder="true" applyFill="false" applyFont="true" applyNumberFormat="true" borderId="4" fillId="0" fontId="15" numFmtId="1000" quotePrefix="false">
      <alignment horizontal="right" vertical="center" wrapText="true"/>
    </xf>
    <xf applyAlignment="true" applyBorder="true" applyFill="false" applyFont="true" applyNumberFormat="true" borderId="5" fillId="0" fontId="15" numFmtId="1000" quotePrefix="false">
      <alignment horizontal="right" vertical="center" wrapText="true"/>
    </xf>
    <xf applyAlignment="true" applyBorder="true" applyFill="false" applyFont="true" applyNumberFormat="true" borderId="2" fillId="0" fontId="5" numFmtId="1000" quotePrefix="false">
      <alignment horizontal="center" vertical="center" wrapText="true"/>
    </xf>
    <xf applyAlignment="true" applyBorder="true" applyFill="false" applyFont="true" applyNumberFormat="true" borderId="6" fillId="0" fontId="15" numFmtId="1000" quotePrefix="false">
      <alignment horizontal="right" vertical="center" wrapText="true"/>
    </xf>
    <xf applyAlignment="true" applyBorder="true" applyFill="false" applyFont="true" applyNumberFormat="true" borderId="7" fillId="0" fontId="10" numFmtId="1000" quotePrefix="false">
      <alignment horizontal="center" vertical="center" wrapText="true"/>
    </xf>
    <xf applyAlignment="true" applyBorder="true" applyFill="false" applyFont="true" applyNumberFormat="true" borderId="8" fillId="0" fontId="15" numFmtId="1000" quotePrefix="false">
      <alignment horizontal="right" vertical="center" wrapText="true"/>
    </xf>
    <xf applyAlignment="true" applyBorder="true" applyFill="false" applyFont="true" applyNumberFormat="true" borderId="9" fillId="0" fontId="14" numFmtId="1000" quotePrefix="false">
      <alignment horizontal="center" vertical="center" wrapText="true"/>
    </xf>
    <xf applyAlignment="true" applyBorder="true" applyFill="true" applyFont="true" applyNumberFormat="true" borderId="2" fillId="3" fontId="5" numFmtId="1000" quotePrefix="false">
      <alignment horizontal="center" vertical="center" wrapText="true"/>
    </xf>
    <xf applyAlignment="true" applyBorder="true" applyFill="false" applyFont="true" applyNumberFormat="true" borderId="10" fillId="0" fontId="15" numFmtId="1000" quotePrefix="false">
      <alignment horizontal="right" vertical="center" wrapText="true"/>
    </xf>
    <xf applyAlignment="true" applyBorder="true" applyFill="false" applyFont="true" applyNumberFormat="true" borderId="11" fillId="0" fontId="10" numFmtId="1000" quotePrefix="false">
      <alignment horizontal="center" vertical="center" wrapText="true"/>
    </xf>
    <xf applyAlignment="true" applyBorder="true" applyFill="false" applyFont="true" applyNumberFormat="true" borderId="12" fillId="0" fontId="14" numFmtId="1000" quotePrefix="false">
      <alignment horizontal="center" vertical="center" wrapText="true"/>
    </xf>
    <xf applyAlignment="true" applyBorder="true" applyFill="false" applyFont="true" applyNumberFormat="true" borderId="13" fillId="0" fontId="14" numFmtId="1000" quotePrefix="false">
      <alignment horizontal="center" vertical="center" wrapText="true"/>
    </xf>
    <xf applyAlignment="true" applyBorder="true" applyFill="true" applyFont="true" applyNumberFormat="true" borderId="14" fillId="3" fontId="14" numFmtId="1000" quotePrefix="false">
      <alignment horizontal="center" vertical="center" wrapText="true"/>
    </xf>
    <xf applyAlignment="true" applyBorder="true" applyFill="false" applyFont="true" applyNumberFormat="true" borderId="15" fillId="0" fontId="15" numFmtId="1000" quotePrefix="false">
      <alignment horizontal="right" vertical="center" wrapText="true"/>
    </xf>
    <xf applyAlignment="true" applyBorder="true" applyFill="false" applyFont="true" applyNumberFormat="true" borderId="16" fillId="0" fontId="14" numFmtId="1000" quotePrefix="false">
      <alignment horizontal="center" vertical="center" wrapText="true"/>
    </xf>
    <xf applyAlignment="true" applyBorder="true" applyFill="true" applyFont="true" applyNumberFormat="true" borderId="17" fillId="3" fontId="14" numFmtId="1000" quotePrefix="false">
      <alignment horizontal="center" vertical="center" wrapText="true"/>
    </xf>
    <xf applyAlignment="true" applyBorder="false" applyFill="false" applyFont="true" applyNumberFormat="true" borderId="0" fillId="0" fontId="15" numFmtId="1000" quotePrefix="false">
      <alignment horizontal="right"/>
    </xf>
    <xf applyAlignment="true" applyBorder="true" applyFill="false" applyFont="true" applyNumberFormat="true" borderId="18" fillId="0" fontId="14" numFmtId="1000" quotePrefix="false">
      <alignment horizontal="center" vertical="center" wrapText="true"/>
    </xf>
    <xf applyAlignment="true" applyBorder="true" applyFill="false" applyFont="true" applyNumberFormat="true" borderId="19" fillId="0" fontId="15" numFmtId="1000" quotePrefix="false">
      <alignment horizontal="right" vertical="center" wrapText="true"/>
    </xf>
    <xf applyAlignment="true" applyBorder="true" applyFill="true" applyFont="true" applyNumberFormat="true" borderId="2" fillId="4" fontId="5" numFmtId="1000" quotePrefix="false">
      <alignment horizontal="center" vertical="center"/>
    </xf>
    <xf applyAlignment="true" applyBorder="true" applyFill="false" applyFont="true" applyNumberFormat="true" borderId="20" fillId="0" fontId="14" numFmtId="1000" quotePrefix="false">
      <alignment horizontal="center" vertical="center" wrapText="true"/>
    </xf>
    <xf applyAlignment="true" applyBorder="true" applyFill="false" applyFont="true" applyNumberFormat="true" borderId="21" fillId="0" fontId="14" numFmtId="1000" quotePrefix="false">
      <alignment horizontal="center" vertical="center" wrapText="true"/>
    </xf>
    <xf applyAlignment="true" applyBorder="true" applyFill="false" applyFont="true" applyNumberFormat="true" borderId="22" fillId="0" fontId="15" numFmtId="1000" quotePrefix="false">
      <alignment horizontal="right" vertical="center" wrapText="true"/>
    </xf>
    <xf applyAlignment="true" applyBorder="true" applyFill="false" applyFont="true" applyNumberFormat="true" borderId="23" fillId="0" fontId="14" numFmtId="1000" quotePrefix="false">
      <alignment horizontal="center" vertical="center" wrapText="true"/>
    </xf>
    <xf applyAlignment="true" applyBorder="true" applyFill="false" applyFont="true" applyNumberFormat="true" borderId="2" fillId="0" fontId="5" numFmtId="1002" quotePrefix="false">
      <alignment horizontal="center" vertical="center"/>
    </xf>
    <xf applyAlignment="true" applyBorder="true" applyFill="false" applyFont="true" applyNumberFormat="true" borderId="24" fillId="0" fontId="15" numFmtId="1000" quotePrefix="false">
      <alignment horizontal="right" vertical="center" wrapText="true"/>
    </xf>
    <xf applyAlignment="true" applyBorder="true" applyFill="false" applyFont="true" applyNumberFormat="true" borderId="25" fillId="0" fontId="14" numFmtId="1000" quotePrefix="false">
      <alignment horizontal="center" vertical="center" wrapText="true"/>
    </xf>
    <xf applyAlignment="true" applyBorder="true" applyFill="false" applyFont="true" applyNumberFormat="true" borderId="26" fillId="0" fontId="14" numFmtId="1000" quotePrefix="false">
      <alignment horizontal="center" vertical="center" wrapText="true"/>
    </xf>
    <xf applyAlignment="true" applyBorder="true" applyFill="false" applyFont="true" applyNumberFormat="true" borderId="28" fillId="0" fontId="14" numFmtId="1000" quotePrefix="false">
      <alignment horizontal="center" vertical="center" wrapText="true"/>
    </xf>
    <xf applyAlignment="true" applyBorder="true" applyFill="true" applyFont="true" applyNumberFormat="true" borderId="27" fillId="5" fontId="14" numFmtId="1000" quotePrefix="false">
      <alignment horizontal="center" vertical="center" wrapText="true"/>
    </xf>
    <xf applyAlignment="true" applyBorder="false" applyFill="false" applyFont="true" applyNumberFormat="true" borderId="0" fillId="0" fontId="10" numFmtId="1000" quotePrefix="false">
      <alignment horizontal="left" vertical="center"/>
    </xf>
    <xf applyAlignment="true" applyBorder="true" applyFill="true" applyFont="true" applyNumberFormat="true" borderId="29" fillId="5" fontId="14" numFmtId="1000" quotePrefix="false">
      <alignment horizontal="center" vertical="center" wrapText="true"/>
    </xf>
    <xf applyAlignment="true" applyBorder="true" applyFill="false" applyFont="false" borderId="30" fillId="0" fontId="1" numFmtId="0" quotePrefix="false">
      <alignment vertical="center" wrapText="true"/>
    </xf>
    <xf applyAlignment="true" applyBorder="true" applyFill="false" applyFont="false" borderId="31" fillId="0" fontId="1" numFmtId="0" quotePrefix="false">
      <alignment vertical="top" wrapText="true"/>
    </xf>
    <xf applyAlignment="true" applyBorder="false" applyFill="false" applyFont="true" applyNumberFormat="true" borderId="0" fillId="0" fontId="15" numFmtId="1002" quotePrefix="false">
      <alignment horizontal="center" vertical="center"/>
    </xf>
    <xf applyAlignment="true" applyBorder="true" applyFill="false" applyFont="false" borderId="32" fillId="0" fontId="1" numFmtId="0" quotePrefix="false">
      <alignment vertical="top" wrapText="true"/>
    </xf>
    <xf applyAlignment="true" applyBorder="true" applyFill="false" applyFont="true" applyNumberFormat="true" borderId="33" fillId="0" fontId="14" numFmtId="1000" quotePrefix="false">
      <alignment horizontal="center" vertical="center" wrapText="true"/>
    </xf>
    <xf applyAlignment="true" applyBorder="true" applyFill="true" applyFont="true" applyNumberFormat="true" borderId="2" fillId="4" fontId="15" numFmtId="1002" quotePrefix="false">
      <alignment horizontal="center" vertical="center"/>
    </xf>
    <xf applyAlignment="true" applyBorder="true" applyFill="false" applyFont="true" applyNumberFormat="true" borderId="2" fillId="0" fontId="14" numFmtId="1000" quotePrefix="false">
      <alignment horizontal="center" vertical="top" wrapText="true"/>
    </xf>
    <xf applyAlignment="true" applyBorder="true" applyFill="false" applyFont="true" applyNumberFormat="true" borderId="34" fillId="0" fontId="14" numFmtId="1000" quotePrefix="false">
      <alignment horizontal="center" vertical="center" wrapText="true"/>
    </xf>
    <xf applyAlignment="true" applyBorder="true" applyFill="true" applyFont="true" applyNumberFormat="true" borderId="2" fillId="4" fontId="5" numFmtId="1002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drawings/_rels/drawing1.xml.rels><?xml version="1.0" encoding="UTF-8" standalone="no" ?>
<Relationships xmlns="http://schemas.openxmlformats.org/package/2006/relationships">
  <Relationship Id="rId4" Target="../media/image4.png" Type="http://schemas.openxmlformats.org/officeDocument/2006/relationships/image"/>
  <Relationship Id="rId1" Target="../media/image1.wmf" Type="http://schemas.openxmlformats.org/officeDocument/2006/relationships/image"/>
  <Relationship Id="rId3" Target="../media/image3.png" Type="http://schemas.openxmlformats.org/officeDocument/2006/relationships/image"/>
  <Relationship Id="rId2" Target="../media/image2.wmf" Type="http://schemas.openxmlformats.org/officeDocument/2006/relationships/image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2303023" y="4733960"/>
    <xdr:ext cx="976815" cy="369810"/>
    <xdr:pic>
      <xdr:nvPicPr>
        <xdr:cNvPr hidden="false" id="1" name="Picture 1"/>
        <xdr:cNvPicPr preferRelativeResize="true"/>
      </xdr:nvPicPr>
      <xdr:blipFill>
        <a:blip r:embed="rId1"/>
        <a:stretch/>
      </xdr:blipFill>
      <xdr:spPr>
        <a:xfrm flipH="false" flipV="false" rot="0"/>
        <a:prstGeom prst="rect"/>
      </xdr:spPr>
    </xdr:pic>
    <xdr:clientData fLocksWithSheet="true"/>
  </xdr:absoluteAnchor>
  <xdr:absoluteAnchor>
    <xdr:pos x="10382865" y="4513006"/>
    <xdr:ext cx="1637400" cy="584370"/>
    <xdr:pic>
      <xdr:nvPicPr>
        <xdr:cNvPr hidden="false" id="2" name="Picture 2"/>
        <xdr:cNvPicPr preferRelativeResize="true"/>
      </xdr:nvPicPr>
      <xdr:blipFill>
        <a:blip r:embed="rId2"/>
        <a:stretch/>
      </xdr:blipFill>
      <xdr:spPr>
        <a:xfrm flipH="false" flipV="false" rot="0"/>
        <a:prstGeom prst="rect"/>
      </xdr:spPr>
    </xdr:pic>
    <xdr:clientData fLocksWithSheet="true"/>
  </xdr:absoluteAnchor>
  <xdr:absoluteAnchor>
    <xdr:pos x="57240" y="9239855"/>
    <xdr:ext cx="2278121" cy="646200"/>
    <xdr:pic>
      <xdr:nvPicPr>
        <xdr:cNvPr hidden="false" id="3" name="Picture 3"/>
        <xdr:cNvPicPr preferRelativeResize="true"/>
      </xdr:nvPicPr>
      <xdr:blipFill>
        <a:blip r:embed="rId3"/>
        <a:stretch/>
      </xdr:blipFill>
      <xdr:spPr>
        <a:xfrm flipH="false" flipV="false" rot="0"/>
        <a:prstGeom prst="rect"/>
      </xdr:spPr>
    </xdr:pic>
    <xdr:clientData fLocksWithSheet="true"/>
  </xdr:absoluteAnchor>
  <xdr:absoluteAnchor>
    <xdr:pos x="95400" y="10411355"/>
    <xdr:ext cx="1544801" cy="580679"/>
    <xdr:pic>
      <xdr:nvPicPr>
        <xdr:cNvPr hidden="false" id="4" name="Picture 4"/>
        <xdr:cNvPicPr preferRelativeResize="true"/>
      </xdr:nvPicPr>
      <xdr:blipFill>
        <a:blip r:embed="rId4"/>
        <a:stretch/>
      </xdr:blipFill>
      <xdr:spPr>
        <a:xfrm flipH="false" flipV="false" rot="0"/>
        <a:prstGeom prst="rect"/>
      </xdr:spPr>
    </xdr:pic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W34"/>
  <sheetViews>
    <sheetView showZeros="true" workbookViewId="0"/>
  </sheetViews>
  <sheetFormatPr baseColWidth="8" customHeight="false" defaultColWidth="8.593540524689212" defaultRowHeight="18.75" zeroHeight="false"/>
  <cols>
    <col customWidth="true" max="1" min="1" outlineLevel="0" style="1" width="13.244843180412181"/>
    <col customWidth="true" max="3" min="2" outlineLevel="0" style="1" width="29.453107049882203"/>
    <col customWidth="true" max="5" min="4" outlineLevel="0" style="1" width="11.695692369268798"/>
    <col customWidth="true" max="6" min="6" outlineLevel="0" style="1" width="10.709170008121669"/>
    <col customWidth="true" max="7" min="7" outlineLevel="0" style="1" width="11.271796428123743"/>
    <col customWidth="true" max="8" min="8" outlineLevel="0" style="1" width="11.838276453742269"/>
    <col customWidth="true" max="9" min="9" outlineLevel="0" style="1" width="12.824799491554124"/>
    <col customWidth="true" max="10" min="10" outlineLevel="0" style="1" width="28.890481983209579"/>
    <col customWidth="true" max="11" min="11" outlineLevel="0" style="1" width="17.33351806280362"/>
    <col customWidth="true" max="12" min="12" outlineLevel="0" style="1" width="15.36047198717991"/>
    <col bestFit="true" customWidth="true" max="16384" min="13" outlineLevel="0" style="1" width="8.593540524689212"/>
  </cols>
  <sheetData>
    <row customFormat="true" customHeight="true" ht="55.5" outlineLevel="0" r="1" s="2">
      <c r="A1" s="6" t="s">
        <v>0</v>
      </c>
      <c r="B1" s="6" t="s"/>
      <c r="C1" s="11" t="s">
        <v>7</v>
      </c>
      <c r="D1" s="11" t="s"/>
      <c r="E1" s="11" t="s"/>
      <c r="F1" s="11" t="s"/>
      <c r="G1" s="11" t="s"/>
      <c r="H1" s="11" t="s"/>
      <c r="I1" s="11" t="s"/>
      <c r="J1" s="11" t="s"/>
      <c r="K1" s="11" t="s"/>
      <c r="L1" s="23" t="n"/>
    </row>
    <row customHeight="true" ht="48.75" outlineLevel="0" r="2">
      <c r="A2" s="22" t="s">
        <v>13</v>
      </c>
      <c r="B2" s="22" t="s"/>
      <c r="C2" s="22" t="s"/>
      <c r="D2" s="22" t="s"/>
      <c r="E2" s="22" t="s"/>
      <c r="F2" s="22" t="s"/>
      <c r="G2" s="22" t="s"/>
      <c r="H2" s="22" t="s"/>
      <c r="I2" s="22" t="s"/>
      <c r="J2" s="22" t="s"/>
      <c r="K2" s="22" t="s"/>
      <c r="L2" s="22" t="s"/>
    </row>
    <row customHeight="true" ht="21.75" outlineLevel="0" r="3">
      <c r="A3" s="10" t="s">
        <v>6</v>
      </c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</row>
    <row customFormat="true" customHeight="true" ht="21" outlineLevel="0" r="4" s="12">
      <c r="A4" s="15" t="s">
        <v>8</v>
      </c>
      <c r="B4" s="15" t="s"/>
      <c r="C4" s="15" t="s"/>
      <c r="D4" s="15" t="s"/>
      <c r="E4" s="15" t="s"/>
      <c r="F4" s="15" t="s"/>
      <c r="G4" s="15" t="s"/>
      <c r="H4" s="15" t="s"/>
      <c r="I4" s="15" t="s"/>
      <c r="J4" s="15" t="s"/>
      <c r="K4" s="15" t="s"/>
      <c r="L4" s="15" t="s"/>
    </row>
    <row customHeight="true" ht="27.75" outlineLevel="0" r="5">
      <c r="A5" s="8" t="s">
        <v>5</v>
      </c>
      <c r="B5" s="8" t="s"/>
      <c r="C5" s="8" t="s"/>
      <c r="D5" s="8" t="s"/>
      <c r="E5" s="8" t="s"/>
      <c r="F5" s="8" t="s"/>
      <c r="G5" s="8" t="s"/>
      <c r="H5" s="8" t="s"/>
      <c r="I5" s="8" t="s"/>
      <c r="J5" s="8" t="s"/>
      <c r="K5" s="8" t="s"/>
      <c r="L5" s="8" t="s"/>
    </row>
    <row customHeight="true" ht="63" outlineLevel="0" r="6">
      <c r="A6" s="8" t="s">
        <v>16</v>
      </c>
      <c r="B6" s="8" t="s"/>
      <c r="C6" s="8" t="s"/>
      <c r="D6" s="8" t="s"/>
      <c r="E6" s="8" t="s"/>
      <c r="F6" s="8" t="s"/>
      <c r="G6" s="8" t="s"/>
      <c r="H6" s="8" t="s"/>
      <c r="I6" s="8" t="s"/>
      <c r="J6" s="8" t="s"/>
      <c r="K6" s="8" t="s"/>
      <c r="L6" s="8" t="s"/>
    </row>
    <row customHeight="true" ht="18.200000762939453" outlineLevel="0"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</row>
    <row customHeight="true" ht="36" outlineLevel="0" r="8">
      <c r="A8" s="25" t="s">
        <v>14</v>
      </c>
      <c r="B8" s="25" t="s"/>
      <c r="C8" s="25" t="s"/>
      <c r="D8" s="25" t="s"/>
      <c r="E8" s="25" t="s"/>
      <c r="F8" s="25" t="s"/>
      <c r="G8" s="25" t="s"/>
      <c r="H8" s="25" t="s"/>
      <c r="I8" s="25" t="s"/>
      <c r="J8" s="25" t="s"/>
      <c r="K8" s="25" t="s"/>
      <c r="L8" s="25" t="s"/>
    </row>
    <row customHeight="true" ht="16.5" outlineLevel="0"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customHeight="true" ht="25.5" outlineLevel="0" r="10">
      <c r="A10" s="21" t="s">
        <v>11</v>
      </c>
      <c r="B10" s="26" t="s">
        <v>18</v>
      </c>
      <c r="C10" s="28" t="s">
        <v>20</v>
      </c>
      <c r="D10" s="26" t="s">
        <v>22</v>
      </c>
      <c r="E10" s="26" t="s">
        <v>25</v>
      </c>
      <c r="F10" s="26" t="s">
        <v>27</v>
      </c>
      <c r="G10" s="42" t="s"/>
      <c r="H10" s="46" t="s"/>
      <c r="I10" s="26" t="s">
        <v>31</v>
      </c>
      <c r="J10" s="58" t="s"/>
      <c r="K10" s="59" t="s"/>
      <c r="L10" s="26" t="s">
        <v>35</v>
      </c>
    </row>
    <row customHeight="true" ht="67.5" outlineLevel="0" r="11">
      <c r="A11" s="36" t="s"/>
      <c r="B11" s="38" t="s"/>
      <c r="C11" s="44" t="s"/>
      <c r="D11" s="49" t="s"/>
      <c r="E11" s="53" t="s"/>
      <c r="F11" s="61" t="s">
        <v>32</v>
      </c>
      <c r="G11" s="63" t="s">
        <v>34</v>
      </c>
      <c r="H11" s="63" t="s">
        <v>36</v>
      </c>
      <c r="I11" s="26" t="s">
        <v>37</v>
      </c>
      <c r="J11" s="70" t="s">
        <v>38</v>
      </c>
      <c r="K11" s="70" t="s">
        <v>39</v>
      </c>
      <c r="L11" s="71" t="s"/>
    </row>
    <row customFormat="true" customHeight="true" ht="166.5" outlineLevel="0" r="12" s="13">
      <c r="A12" s="41" t="s"/>
      <c r="B12" s="43" t="s"/>
      <c r="C12" s="47" t="s"/>
      <c r="D12" s="52" t="s"/>
      <c r="E12" s="55" t="s"/>
      <c r="F12" s="60" t="s">
        <v>33</v>
      </c>
      <c r="G12" s="60" t="s">
        <v>33</v>
      </c>
      <c r="H12" s="60" t="s">
        <v>33</v>
      </c>
      <c r="I12" s="64" t="s"/>
      <c r="J12" s="65" t="s"/>
      <c r="K12" s="67" t="s"/>
      <c r="L12" s="68" t="s"/>
    </row>
    <row customFormat="true" ht="18.75" outlineLevel="0" r="13" s="13">
      <c r="A13" s="19" t="n">
        <v>1</v>
      </c>
      <c r="B13" s="19" t="n">
        <v>2</v>
      </c>
      <c r="C13" s="19" t="n">
        <v>3</v>
      </c>
      <c r="D13" s="19" t="n">
        <v>4</v>
      </c>
      <c r="E13" s="19" t="n">
        <v>5</v>
      </c>
      <c r="F13" s="19" t="n">
        <v>6</v>
      </c>
      <c r="G13" s="19" t="n">
        <v>7</v>
      </c>
      <c r="H13" s="19" t="n">
        <v>8</v>
      </c>
      <c r="I13" s="19" t="n">
        <v>9</v>
      </c>
      <c r="J13" s="19" t="n">
        <v>10</v>
      </c>
      <c r="K13" s="19" t="n">
        <v>11</v>
      </c>
      <c r="L13" s="19" t="n">
        <v>12</v>
      </c>
    </row>
    <row customFormat="true" ht="63" outlineLevel="0" r="14" s="13">
      <c r="A14" s="31" t="n">
        <v>1</v>
      </c>
      <c r="B14" s="34" t="s">
        <v>24</v>
      </c>
      <c r="C14" s="39" t="s">
        <v>28</v>
      </c>
      <c r="D14" s="34" t="s">
        <v>29</v>
      </c>
      <c r="E14" s="51" t="n">
        <v>1000</v>
      </c>
      <c r="F14" s="56" t="n">
        <v>395</v>
      </c>
      <c r="G14" s="56" t="n">
        <v>377</v>
      </c>
      <c r="H14" s="56" t="n">
        <v>350</v>
      </c>
      <c r="I14" s="56" t="n">
        <f aca="false" ca="false" dt2D="false" dtr="false" t="normal">(F14+G14+H14)/3</f>
        <v>374</v>
      </c>
      <c r="J14" s="56" t="n">
        <v>9.1699999999999999</v>
      </c>
      <c r="K14" s="56" t="n">
        <v>2.3700000000000001</v>
      </c>
      <c r="L14" s="72" t="n">
        <f aca="false" ca="false" dt2D="false" dtr="false" t="normal">I14*E14</f>
        <v>374000</v>
      </c>
    </row>
    <row customHeight="true" ht="18.75" outlineLevel="0" r="15">
      <c r="A15" s="27" t="s">
        <v>19</v>
      </c>
      <c r="B15" s="30" t="s"/>
      <c r="C15" s="32" t="s"/>
      <c r="D15" s="33" t="s"/>
      <c r="E15" s="35" t="s"/>
      <c r="F15" s="37" t="s"/>
      <c r="G15" s="40" t="s"/>
      <c r="H15" s="45" t="s"/>
      <c r="I15" s="50" t="s"/>
      <c r="J15" s="54" t="s"/>
      <c r="K15" s="57" t="s"/>
      <c r="L15" s="69" t="n">
        <f aca="false" ca="false" dt2D="false" dtr="false" t="normal">SUM(L14)</f>
        <v>374000</v>
      </c>
    </row>
    <row customHeight="true" ht="18.75" outlineLevel="0"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66" t="n"/>
    </row>
    <row customHeight="true" ht="18.75" outlineLevel="0" r="17"/>
    <row customHeight="true" ht="140.25" outlineLevel="0" r="18">
      <c r="A18" s="5" t="s">
        <v>1</v>
      </c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  <c r="L18" s="5" t="s"/>
      <c r="N18" s="14" t="n"/>
      <c r="O18" s="0" t="n"/>
      <c r="Q18" s="0" t="n"/>
      <c r="W18" s="0" t="n"/>
    </row>
    <row customHeight="true" ht="18.75" outlineLevel="0" r="19">
      <c r="A19" s="20" t="s">
        <v>10</v>
      </c>
      <c r="B19" s="20" t="s"/>
      <c r="C19" s="20" t="s"/>
      <c r="D19" s="20" t="s"/>
      <c r="E19" s="20" t="s"/>
      <c r="F19" s="20" t="s"/>
      <c r="G19" s="20" t="s"/>
      <c r="H19" s="20" t="s"/>
      <c r="I19" s="20" t="s"/>
      <c r="J19" s="20" t="s"/>
      <c r="K19" s="20" t="s"/>
      <c r="L19" s="20" t="s"/>
    </row>
    <row customHeight="true" ht="54" outlineLevel="0" r="20">
      <c r="A20" s="20" t="s">
        <v>26</v>
      </c>
      <c r="B20" s="20" t="s"/>
      <c r="C20" s="20" t="s"/>
      <c r="D20" s="20" t="s"/>
      <c r="E20" s="20" t="s"/>
      <c r="F20" s="20" t="s"/>
      <c r="G20" s="20" t="s"/>
      <c r="H20" s="20" t="s"/>
      <c r="I20" s="20" t="s"/>
      <c r="J20" s="20" t="s"/>
      <c r="K20" s="20" t="s"/>
      <c r="L20" s="62" t="n"/>
      <c r="O20" s="0" t="n"/>
    </row>
    <row outlineLevel="0" r="21">
      <c r="A21" s="1" t="s">
        <v>30</v>
      </c>
    </row>
    <row outlineLevel="0" r="22">
      <c r="A22" s="1" t="s">
        <v>12</v>
      </c>
    </row>
    <row outlineLevel="0" r="23">
      <c r="A23" s="1" t="s">
        <v>17</v>
      </c>
    </row>
    <row customHeight="true" ht="39" outlineLevel="0" r="24">
      <c r="A24" s="29" t="s">
        <v>21</v>
      </c>
      <c r="B24" s="29" t="s"/>
      <c r="C24" s="29" t="s"/>
      <c r="D24" s="29" t="s"/>
      <c r="E24" s="29" t="s"/>
      <c r="F24" s="29" t="s"/>
      <c r="G24" s="29" t="s"/>
      <c r="H24" s="29" t="s"/>
      <c r="I24" s="29" t="s"/>
      <c r="J24" s="29" t="s"/>
      <c r="K24" s="29" t="s"/>
      <c r="L24" s="29" t="s"/>
    </row>
    <row customHeight="true" ht="48" outlineLevel="0" r="26">
      <c r="A26" s="5" t="s">
        <v>2</v>
      </c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  <c r="L26" s="5" t="s"/>
    </row>
    <row outlineLevel="0" r="28">
      <c r="A28" s="3" t="n"/>
      <c r="B28" s="3" t="s"/>
    </row>
    <row customHeight="true" ht="35.099998474121094" outlineLevel="0" r="29">
      <c r="A29" s="18" t="s">
        <v>9</v>
      </c>
      <c r="B29" s="18" t="s"/>
      <c r="C29" s="18" t="s"/>
      <c r="D29" s="18" t="s"/>
      <c r="E29" s="24" t="s">
        <v>15</v>
      </c>
      <c r="F29" s="24" t="s"/>
      <c r="G29" s="24" t="s"/>
      <c r="H29" s="18" t="s">
        <v>23</v>
      </c>
      <c r="I29" s="18" t="s"/>
      <c r="J29" s="18" t="s"/>
      <c r="K29" s="17" t="n"/>
      <c r="L29" s="17" t="n"/>
    </row>
    <row customHeight="true" ht="17.25" outlineLevel="0" r="30">
      <c r="A30" s="3" t="n"/>
      <c r="B30" s="3" t="n"/>
      <c r="C30" s="3" t="n"/>
      <c r="D30" s="3" t="n"/>
      <c r="E30" s="9" t="n"/>
      <c r="F30" s="9" t="n"/>
      <c r="G30" s="9" t="n"/>
      <c r="H30" s="3" t="n"/>
      <c r="I30" s="3" t="n"/>
      <c r="J30" s="3" t="n"/>
      <c r="K30" s="17" t="n"/>
      <c r="L30" s="17" t="n"/>
    </row>
    <row customHeight="true" ht="14.25" outlineLevel="0" r="31">
      <c r="A31" s="3" t="n"/>
      <c r="B31" s="3" t="n"/>
      <c r="C31" s="3" t="n"/>
      <c r="D31" s="3" t="n"/>
      <c r="E31" s="9" t="n"/>
      <c r="F31" s="9" t="n"/>
      <c r="G31" s="9" t="n"/>
      <c r="H31" s="3" t="n"/>
      <c r="I31" s="3" t="n"/>
      <c r="J31" s="3" t="n"/>
      <c r="K31" s="17" t="n"/>
      <c r="L31" s="17" t="n"/>
    </row>
    <row customHeight="true" ht="14.25" outlineLevel="0" r="32"/>
    <row outlineLevel="0" r="33">
      <c r="A33" s="7" t="s">
        <v>3</v>
      </c>
      <c r="B33" s="7" t="s"/>
    </row>
    <row outlineLevel="0" r="34">
      <c r="A34" s="7" t="s">
        <v>4</v>
      </c>
      <c r="B34" s="7" t="s"/>
    </row>
  </sheetData>
  <mergeCells count="31">
    <mergeCell ref="A34:B34"/>
    <mergeCell ref="A33:B33"/>
    <mergeCell ref="A29:D29"/>
    <mergeCell ref="A28:B28"/>
    <mergeCell ref="E29:G29"/>
    <mergeCell ref="H29:J29"/>
    <mergeCell ref="A26:L26"/>
    <mergeCell ref="A24:L24"/>
    <mergeCell ref="A20:K20"/>
    <mergeCell ref="A19:L19"/>
    <mergeCell ref="A18:L18"/>
    <mergeCell ref="A15:K15"/>
    <mergeCell ref="I11:I12"/>
    <mergeCell ref="J11:J12"/>
    <mergeCell ref="K11:K12"/>
    <mergeCell ref="A10:A12"/>
    <mergeCell ref="B10:B12"/>
    <mergeCell ref="C10:C12"/>
    <mergeCell ref="D10:D12"/>
    <mergeCell ref="E10:E12"/>
    <mergeCell ref="L10:L12"/>
    <mergeCell ref="A2:L2"/>
    <mergeCell ref="F10:H10"/>
    <mergeCell ref="A8:L8"/>
    <mergeCell ref="I10:K10"/>
    <mergeCell ref="A1:B1"/>
    <mergeCell ref="C1:K1"/>
    <mergeCell ref="A6:L6"/>
    <mergeCell ref="A5:L5"/>
    <mergeCell ref="A3:L3"/>
    <mergeCell ref="A4:L4"/>
  </mergeCells>
  <pageMargins bottom="0" footer="0.5118110179901123" header="0.5118110179901123" left="0.98402774333953857" right="0.19652777910232544" top="0.74791663885116577"/>
  <pageSetup fitToHeight="0" fitToWidth="1" orientation="landscape" paperHeight="297mm" paperSize="9" paperWidth="210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MyOffice-CoreFramework-Linux/39-1403.1128.10324.1037.1@fc1316eba30d48a15ce540845df284bfc00e4e9c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2025-12-05T06:50:15Z</dcterms:created>
  <dcterms:modified xsi:type="dcterms:W3CDTF">2026-07-23T08:05:29Z</dcterms:modified>
</cp:coreProperties>
</file>