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9440" windowHeight="9735"/>
  </bookViews>
  <sheets>
    <sheet name="расчет_НМЦК" sheetId="3" r:id="rId1"/>
  </sheets>
  <calcPr calcId="124519"/>
</workbook>
</file>

<file path=xl/calcChain.xml><?xml version="1.0" encoding="utf-8"?>
<calcChain xmlns="http://schemas.openxmlformats.org/spreadsheetml/2006/main">
  <c r="V8" i="3"/>
  <c r="V9" s="1"/>
  <c r="R8"/>
  <c r="Q8"/>
  <c r="O8"/>
  <c r="P8" s="1"/>
  <c r="S8" l="1"/>
  <c r="T8" s="1"/>
  <c r="N9"/>
  <c r="M9"/>
  <c r="I15" l="1"/>
  <c r="V12" l="1"/>
  <c r="D5"/>
</calcChain>
</file>

<file path=xl/sharedStrings.xml><?xml version="1.0" encoding="utf-8"?>
<sst xmlns="http://schemas.openxmlformats.org/spreadsheetml/2006/main" count="51" uniqueCount="41">
  <si>
    <t>№ п/п</t>
  </si>
  <si>
    <t>Наименование товара, работ, услуг</t>
  </si>
  <si>
    <t>Объем</t>
  </si>
  <si>
    <t>Ед.изм.</t>
  </si>
  <si>
    <t>Кол-во</t>
  </si>
  <si>
    <t>Источник №1</t>
  </si>
  <si>
    <t>Цена за ед.изм.</t>
  </si>
  <si>
    <t>Источник №2</t>
  </si>
  <si>
    <t>Источник №3</t>
  </si>
  <si>
    <t>Совокупность значений</t>
  </si>
  <si>
    <t>Кол-во знач.</t>
  </si>
  <si>
    <t>Коэфф вариации V=</t>
  </si>
  <si>
    <t>Средн. арифм.</t>
  </si>
  <si>
    <t>Округле-ние</t>
  </si>
  <si>
    <t xml:space="preserve"> к документации об электронном аукционе</t>
  </si>
  <si>
    <t>Сред. квадр. откл. σ=</t>
  </si>
  <si>
    <t>Начальная (максимальная) цена контракта</t>
  </si>
  <si>
    <t>Источник №4</t>
  </si>
  <si>
    <t>Источник №7</t>
  </si>
  <si>
    <t>Источник №8</t>
  </si>
  <si>
    <t xml:space="preserve">Приложение </t>
  </si>
  <si>
    <t>Используемый метод определения НМЦК с обоснованием:</t>
  </si>
  <si>
    <t>Для расчета начальной (максимальной) цены использован метод сопоставимых рыночных цен (анализ рынка), который является приоритетным для определения и обоснования НМЦК (ч.8 ст.22 Федерального закона от 05.04.2013 г. №44-ФЗ). Расчет начальной (максимальной) цены контракта выполнен в соответствии с методическими рекомендациями, утвержденными приказом Минэкономразвития РФ от 02.10.2013 №567</t>
  </si>
  <si>
    <t>Расчет составил</t>
  </si>
  <si>
    <t>М.А. Башмурова</t>
  </si>
  <si>
    <t>Источник №5</t>
  </si>
  <si>
    <t xml:space="preserve"> </t>
  </si>
  <si>
    <t>пачка</t>
  </si>
  <si>
    <t>Начальная максимальная цена контракта соответствующая минимальному значению</t>
  </si>
  <si>
    <t>КТРУ/ОКПД2</t>
  </si>
  <si>
    <t>Заказчик:</t>
  </si>
  <si>
    <t>И.о. главного врача  ГБУЗ НО "Арзамасский родильный дом"</t>
  </si>
  <si>
    <t>М.П.</t>
  </si>
  <si>
    <t>Л. Я. Тихомирова</t>
  </si>
  <si>
    <t xml:space="preserve"> Бумага для офисной техники </t>
  </si>
  <si>
    <t xml:space="preserve">ОПРЕДЕЛЕНИЕ НМЦК на поставку бумаги для офисной техники </t>
  </si>
  <si>
    <t>КТРУ 17.12.14.110-00000005</t>
  </si>
  <si>
    <t>Расчет Н(М)ЦК произвел:  ________________________Е. Ф. Еремина</t>
  </si>
  <si>
    <t>Поставщик №1</t>
  </si>
  <si>
    <t>Поставщик №2</t>
  </si>
  <si>
    <t>Поставщик №3</t>
  </si>
</sst>
</file>

<file path=xl/styles.xml><?xml version="1.0" encoding="utf-8"?>
<styleSheet xmlns="http://schemas.openxmlformats.org/spreadsheetml/2006/main">
  <numFmts count="3">
    <numFmt numFmtId="164" formatCode="#,##0.00_р_."/>
    <numFmt numFmtId="165" formatCode="#,##0.00\ _₽"/>
    <numFmt numFmtId="166" formatCode="#,##0.00\ &quot;₽&quot;"/>
  </numFmts>
  <fonts count="1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.5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6">
    <xf numFmtId="0" fontId="0" fillId="0" borderId="0" xfId="0"/>
    <xf numFmtId="164" fontId="2" fillId="0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9" fontId="2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6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Fill="1" applyBorder="1" applyAlignment="1">
      <alignment horizontal="center" vertical="center"/>
    </xf>
    <xf numFmtId="4" fontId="5" fillId="2" borderId="6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4" fontId="8" fillId="0" borderId="0" xfId="0" applyNumberFormat="1" applyFont="1" applyAlignment="1"/>
    <xf numFmtId="0" fontId="7" fillId="0" borderId="0" xfId="0" applyFont="1"/>
    <xf numFmtId="166" fontId="8" fillId="0" borderId="0" xfId="0" applyNumberFormat="1" applyFont="1" applyAlignment="1"/>
    <xf numFmtId="165" fontId="2" fillId="0" borderId="1" xfId="0" applyNumberFormat="1" applyFont="1" applyBorder="1" applyAlignment="1">
      <alignment horizontal="center" vertical="center" wrapText="1"/>
    </xf>
    <xf numFmtId="164" fontId="1" fillId="0" borderId="1" xfId="1" applyNumberForma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9" fillId="0" borderId="0" xfId="0" applyFont="1"/>
    <xf numFmtId="4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officemag.ru/" TargetMode="External"/><Relationship Id="rId3" Type="http://schemas.openxmlformats.org/officeDocument/2006/relationships/hyperlink" Target="http://office-snabs.ru/" TargetMode="External"/><Relationship Id="rId7" Type="http://schemas.openxmlformats.org/officeDocument/2006/relationships/hyperlink" Target="http://www.officemag.ru/" TargetMode="External"/><Relationship Id="rId2" Type="http://schemas.openxmlformats.org/officeDocument/2006/relationships/hyperlink" Target="http://ofiskom.com/" TargetMode="External"/><Relationship Id="rId1" Type="http://schemas.openxmlformats.org/officeDocument/2006/relationships/hyperlink" Target="http://www.kartmaster.ru/" TargetMode="External"/><Relationship Id="rId6" Type="http://schemas.openxmlformats.org/officeDocument/2006/relationships/hyperlink" Target="http://www.officemag.ru/" TargetMode="External"/><Relationship Id="rId5" Type="http://schemas.openxmlformats.org/officeDocument/2006/relationships/hyperlink" Target="http://ofiskom.com/" TargetMode="External"/><Relationship Id="rId4" Type="http://schemas.openxmlformats.org/officeDocument/2006/relationships/hyperlink" Target="http://www.oficity.ru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35"/>
  <sheetViews>
    <sheetView tabSelected="1" zoomScale="70" zoomScaleNormal="70" workbookViewId="0">
      <selection activeCell="G7" sqref="G7"/>
    </sheetView>
  </sheetViews>
  <sheetFormatPr defaultRowHeight="15.75"/>
  <cols>
    <col min="1" max="1" width="21.7109375" style="21" customWidth="1"/>
    <col min="2" max="2" width="5" style="21" customWidth="1"/>
    <col min="3" max="3" width="37.5703125" style="20" customWidth="1"/>
    <col min="4" max="4" width="8.5703125" style="20" customWidth="1"/>
    <col min="5" max="5" width="10.7109375" style="20" customWidth="1"/>
    <col min="6" max="8" width="20.7109375" style="1" customWidth="1"/>
    <col min="9" max="10" width="17.7109375" style="1" hidden="1" customWidth="1"/>
    <col min="11" max="11" width="14.85546875" style="1" hidden="1" customWidth="1"/>
    <col min="12" max="12" width="14.7109375" style="1" hidden="1" customWidth="1"/>
    <col min="13" max="14" width="14.85546875" style="1" hidden="1" customWidth="1"/>
    <col min="15" max="16" width="14.85546875" style="2" customWidth="1"/>
    <col min="17" max="17" width="5.85546875" style="20" customWidth="1"/>
    <col min="18" max="18" width="13.28515625" style="21" bestFit="1" customWidth="1"/>
    <col min="19" max="19" width="9.85546875" style="21" customWidth="1"/>
    <col min="20" max="20" width="17.85546875" style="21" customWidth="1"/>
    <col min="21" max="21" width="0.140625" style="29" hidden="1" customWidth="1"/>
    <col min="22" max="22" width="26.5703125" style="2" customWidth="1"/>
    <col min="23" max="23" width="6" style="21" customWidth="1"/>
    <col min="24" max="24" width="9.140625" style="21"/>
    <col min="25" max="25" width="13.28515625" style="21" bestFit="1" customWidth="1"/>
    <col min="26" max="26" width="9.85546875" style="21" bestFit="1" customWidth="1"/>
    <col min="27" max="27" width="13.28515625" style="21" bestFit="1" customWidth="1"/>
    <col min="28" max="258" width="9.140625" style="21"/>
    <col min="259" max="259" width="9.28515625" style="21" bestFit="1" customWidth="1"/>
    <col min="260" max="260" width="5" style="21" customWidth="1"/>
    <col min="261" max="261" width="37.5703125" style="21" customWidth="1"/>
    <col min="262" max="262" width="8.5703125" style="21" customWidth="1"/>
    <col min="263" max="263" width="7.85546875" style="21" bestFit="1" customWidth="1"/>
    <col min="264" max="266" width="15.7109375" style="21" customWidth="1"/>
    <col min="267" max="271" width="0" style="21" hidden="1" customWidth="1"/>
    <col min="272" max="272" width="12.7109375" style="21" bestFit="1" customWidth="1"/>
    <col min="273" max="273" width="12.5703125" style="21" customWidth="1"/>
    <col min="274" max="274" width="5.85546875" style="21" customWidth="1"/>
    <col min="275" max="275" width="13.28515625" style="21" bestFit="1" customWidth="1"/>
    <col min="276" max="276" width="9.85546875" style="21" customWidth="1"/>
    <col min="277" max="277" width="18.42578125" style="21" customWidth="1"/>
    <col min="278" max="278" width="13.140625" style="21" bestFit="1" customWidth="1"/>
    <col min="279" max="279" width="0" style="21" hidden="1" customWidth="1"/>
    <col min="280" max="280" width="9.140625" style="21"/>
    <col min="281" max="281" width="13.28515625" style="21" bestFit="1" customWidth="1"/>
    <col min="282" max="282" width="9.85546875" style="21" bestFit="1" customWidth="1"/>
    <col min="283" max="283" width="13.28515625" style="21" bestFit="1" customWidth="1"/>
    <col min="284" max="514" width="9.140625" style="21"/>
    <col min="515" max="515" width="9.28515625" style="21" bestFit="1" customWidth="1"/>
    <col min="516" max="516" width="5" style="21" customWidth="1"/>
    <col min="517" max="517" width="37.5703125" style="21" customWidth="1"/>
    <col min="518" max="518" width="8.5703125" style="21" customWidth="1"/>
    <col min="519" max="519" width="7.85546875" style="21" bestFit="1" customWidth="1"/>
    <col min="520" max="522" width="15.7109375" style="21" customWidth="1"/>
    <col min="523" max="527" width="0" style="21" hidden="1" customWidth="1"/>
    <col min="528" max="528" width="12.7109375" style="21" bestFit="1" customWidth="1"/>
    <col min="529" max="529" width="12.5703125" style="21" customWidth="1"/>
    <col min="530" max="530" width="5.85546875" style="21" customWidth="1"/>
    <col min="531" max="531" width="13.28515625" style="21" bestFit="1" customWidth="1"/>
    <col min="532" max="532" width="9.85546875" style="21" customWidth="1"/>
    <col min="533" max="533" width="18.42578125" style="21" customWidth="1"/>
    <col min="534" max="534" width="13.140625" style="21" bestFit="1" customWidth="1"/>
    <col min="535" max="535" width="0" style="21" hidden="1" customWidth="1"/>
    <col min="536" max="536" width="9.140625" style="21"/>
    <col min="537" max="537" width="13.28515625" style="21" bestFit="1" customWidth="1"/>
    <col min="538" max="538" width="9.85546875" style="21" bestFit="1" customWidth="1"/>
    <col min="539" max="539" width="13.28515625" style="21" bestFit="1" customWidth="1"/>
    <col min="540" max="770" width="9.140625" style="21"/>
    <col min="771" max="771" width="9.28515625" style="21" bestFit="1" customWidth="1"/>
    <col min="772" max="772" width="5" style="21" customWidth="1"/>
    <col min="773" max="773" width="37.5703125" style="21" customWidth="1"/>
    <col min="774" max="774" width="8.5703125" style="21" customWidth="1"/>
    <col min="775" max="775" width="7.85546875" style="21" bestFit="1" customWidth="1"/>
    <col min="776" max="778" width="15.7109375" style="21" customWidth="1"/>
    <col min="779" max="783" width="0" style="21" hidden="1" customWidth="1"/>
    <col min="784" max="784" width="12.7109375" style="21" bestFit="1" customWidth="1"/>
    <col min="785" max="785" width="12.5703125" style="21" customWidth="1"/>
    <col min="786" max="786" width="5.85546875" style="21" customWidth="1"/>
    <col min="787" max="787" width="13.28515625" style="21" bestFit="1" customWidth="1"/>
    <col min="788" max="788" width="9.85546875" style="21" customWidth="1"/>
    <col min="789" max="789" width="18.42578125" style="21" customWidth="1"/>
    <col min="790" max="790" width="13.140625" style="21" bestFit="1" customWidth="1"/>
    <col min="791" max="791" width="0" style="21" hidden="1" customWidth="1"/>
    <col min="792" max="792" width="9.140625" style="21"/>
    <col min="793" max="793" width="13.28515625" style="21" bestFit="1" customWidth="1"/>
    <col min="794" max="794" width="9.85546875" style="21" bestFit="1" customWidth="1"/>
    <col min="795" max="795" width="13.28515625" style="21" bestFit="1" customWidth="1"/>
    <col min="796" max="1026" width="9.140625" style="21"/>
    <col min="1027" max="1027" width="9.28515625" style="21" bestFit="1" customWidth="1"/>
    <col min="1028" max="1028" width="5" style="21" customWidth="1"/>
    <col min="1029" max="1029" width="37.5703125" style="21" customWidth="1"/>
    <col min="1030" max="1030" width="8.5703125" style="21" customWidth="1"/>
    <col min="1031" max="1031" width="7.85546875" style="21" bestFit="1" customWidth="1"/>
    <col min="1032" max="1034" width="15.7109375" style="21" customWidth="1"/>
    <col min="1035" max="1039" width="0" style="21" hidden="1" customWidth="1"/>
    <col min="1040" max="1040" width="12.7109375" style="21" bestFit="1" customWidth="1"/>
    <col min="1041" max="1041" width="12.5703125" style="21" customWidth="1"/>
    <col min="1042" max="1042" width="5.85546875" style="21" customWidth="1"/>
    <col min="1043" max="1043" width="13.28515625" style="21" bestFit="1" customWidth="1"/>
    <col min="1044" max="1044" width="9.85546875" style="21" customWidth="1"/>
    <col min="1045" max="1045" width="18.42578125" style="21" customWidth="1"/>
    <col min="1046" max="1046" width="13.140625" style="21" bestFit="1" customWidth="1"/>
    <col min="1047" max="1047" width="0" style="21" hidden="1" customWidth="1"/>
    <col min="1048" max="1048" width="9.140625" style="21"/>
    <col min="1049" max="1049" width="13.28515625" style="21" bestFit="1" customWidth="1"/>
    <col min="1050" max="1050" width="9.85546875" style="21" bestFit="1" customWidth="1"/>
    <col min="1051" max="1051" width="13.28515625" style="21" bestFit="1" customWidth="1"/>
    <col min="1052" max="1282" width="9.140625" style="21"/>
    <col min="1283" max="1283" width="9.28515625" style="21" bestFit="1" customWidth="1"/>
    <col min="1284" max="1284" width="5" style="21" customWidth="1"/>
    <col min="1285" max="1285" width="37.5703125" style="21" customWidth="1"/>
    <col min="1286" max="1286" width="8.5703125" style="21" customWidth="1"/>
    <col min="1287" max="1287" width="7.85546875" style="21" bestFit="1" customWidth="1"/>
    <col min="1288" max="1290" width="15.7109375" style="21" customWidth="1"/>
    <col min="1291" max="1295" width="0" style="21" hidden="1" customWidth="1"/>
    <col min="1296" max="1296" width="12.7109375" style="21" bestFit="1" customWidth="1"/>
    <col min="1297" max="1297" width="12.5703125" style="21" customWidth="1"/>
    <col min="1298" max="1298" width="5.85546875" style="21" customWidth="1"/>
    <col min="1299" max="1299" width="13.28515625" style="21" bestFit="1" customWidth="1"/>
    <col min="1300" max="1300" width="9.85546875" style="21" customWidth="1"/>
    <col min="1301" max="1301" width="18.42578125" style="21" customWidth="1"/>
    <col min="1302" max="1302" width="13.140625" style="21" bestFit="1" customWidth="1"/>
    <col min="1303" max="1303" width="0" style="21" hidden="1" customWidth="1"/>
    <col min="1304" max="1304" width="9.140625" style="21"/>
    <col min="1305" max="1305" width="13.28515625" style="21" bestFit="1" customWidth="1"/>
    <col min="1306" max="1306" width="9.85546875" style="21" bestFit="1" customWidth="1"/>
    <col min="1307" max="1307" width="13.28515625" style="21" bestFit="1" customWidth="1"/>
    <col min="1308" max="1538" width="9.140625" style="21"/>
    <col min="1539" max="1539" width="9.28515625" style="21" bestFit="1" customWidth="1"/>
    <col min="1540" max="1540" width="5" style="21" customWidth="1"/>
    <col min="1541" max="1541" width="37.5703125" style="21" customWidth="1"/>
    <col min="1542" max="1542" width="8.5703125" style="21" customWidth="1"/>
    <col min="1543" max="1543" width="7.85546875" style="21" bestFit="1" customWidth="1"/>
    <col min="1544" max="1546" width="15.7109375" style="21" customWidth="1"/>
    <col min="1547" max="1551" width="0" style="21" hidden="1" customWidth="1"/>
    <col min="1552" max="1552" width="12.7109375" style="21" bestFit="1" customWidth="1"/>
    <col min="1553" max="1553" width="12.5703125" style="21" customWidth="1"/>
    <col min="1554" max="1554" width="5.85546875" style="21" customWidth="1"/>
    <col min="1555" max="1555" width="13.28515625" style="21" bestFit="1" customWidth="1"/>
    <col min="1556" max="1556" width="9.85546875" style="21" customWidth="1"/>
    <col min="1557" max="1557" width="18.42578125" style="21" customWidth="1"/>
    <col min="1558" max="1558" width="13.140625" style="21" bestFit="1" customWidth="1"/>
    <col min="1559" max="1559" width="0" style="21" hidden="1" customWidth="1"/>
    <col min="1560" max="1560" width="9.140625" style="21"/>
    <col min="1561" max="1561" width="13.28515625" style="21" bestFit="1" customWidth="1"/>
    <col min="1562" max="1562" width="9.85546875" style="21" bestFit="1" customWidth="1"/>
    <col min="1563" max="1563" width="13.28515625" style="21" bestFit="1" customWidth="1"/>
    <col min="1564" max="1794" width="9.140625" style="21"/>
    <col min="1795" max="1795" width="9.28515625" style="21" bestFit="1" customWidth="1"/>
    <col min="1796" max="1796" width="5" style="21" customWidth="1"/>
    <col min="1797" max="1797" width="37.5703125" style="21" customWidth="1"/>
    <col min="1798" max="1798" width="8.5703125" style="21" customWidth="1"/>
    <col min="1799" max="1799" width="7.85546875" style="21" bestFit="1" customWidth="1"/>
    <col min="1800" max="1802" width="15.7109375" style="21" customWidth="1"/>
    <col min="1803" max="1807" width="0" style="21" hidden="1" customWidth="1"/>
    <col min="1808" max="1808" width="12.7109375" style="21" bestFit="1" customWidth="1"/>
    <col min="1809" max="1809" width="12.5703125" style="21" customWidth="1"/>
    <col min="1810" max="1810" width="5.85546875" style="21" customWidth="1"/>
    <col min="1811" max="1811" width="13.28515625" style="21" bestFit="1" customWidth="1"/>
    <col min="1812" max="1812" width="9.85546875" style="21" customWidth="1"/>
    <col min="1813" max="1813" width="18.42578125" style="21" customWidth="1"/>
    <col min="1814" max="1814" width="13.140625" style="21" bestFit="1" customWidth="1"/>
    <col min="1815" max="1815" width="0" style="21" hidden="1" customWidth="1"/>
    <col min="1816" max="1816" width="9.140625" style="21"/>
    <col min="1817" max="1817" width="13.28515625" style="21" bestFit="1" customWidth="1"/>
    <col min="1818" max="1818" width="9.85546875" style="21" bestFit="1" customWidth="1"/>
    <col min="1819" max="1819" width="13.28515625" style="21" bestFit="1" customWidth="1"/>
    <col min="1820" max="2050" width="9.140625" style="21"/>
    <col min="2051" max="2051" width="9.28515625" style="21" bestFit="1" customWidth="1"/>
    <col min="2052" max="2052" width="5" style="21" customWidth="1"/>
    <col min="2053" max="2053" width="37.5703125" style="21" customWidth="1"/>
    <col min="2054" max="2054" width="8.5703125" style="21" customWidth="1"/>
    <col min="2055" max="2055" width="7.85546875" style="21" bestFit="1" customWidth="1"/>
    <col min="2056" max="2058" width="15.7109375" style="21" customWidth="1"/>
    <col min="2059" max="2063" width="0" style="21" hidden="1" customWidth="1"/>
    <col min="2064" max="2064" width="12.7109375" style="21" bestFit="1" customWidth="1"/>
    <col min="2065" max="2065" width="12.5703125" style="21" customWidth="1"/>
    <col min="2066" max="2066" width="5.85546875" style="21" customWidth="1"/>
    <col min="2067" max="2067" width="13.28515625" style="21" bestFit="1" customWidth="1"/>
    <col min="2068" max="2068" width="9.85546875" style="21" customWidth="1"/>
    <col min="2069" max="2069" width="18.42578125" style="21" customWidth="1"/>
    <col min="2070" max="2070" width="13.140625" style="21" bestFit="1" customWidth="1"/>
    <col min="2071" max="2071" width="0" style="21" hidden="1" customWidth="1"/>
    <col min="2072" max="2072" width="9.140625" style="21"/>
    <col min="2073" max="2073" width="13.28515625" style="21" bestFit="1" customWidth="1"/>
    <col min="2074" max="2074" width="9.85546875" style="21" bestFit="1" customWidth="1"/>
    <col min="2075" max="2075" width="13.28515625" style="21" bestFit="1" customWidth="1"/>
    <col min="2076" max="2306" width="9.140625" style="21"/>
    <col min="2307" max="2307" width="9.28515625" style="21" bestFit="1" customWidth="1"/>
    <col min="2308" max="2308" width="5" style="21" customWidth="1"/>
    <col min="2309" max="2309" width="37.5703125" style="21" customWidth="1"/>
    <col min="2310" max="2310" width="8.5703125" style="21" customWidth="1"/>
    <col min="2311" max="2311" width="7.85546875" style="21" bestFit="1" customWidth="1"/>
    <col min="2312" max="2314" width="15.7109375" style="21" customWidth="1"/>
    <col min="2315" max="2319" width="0" style="21" hidden="1" customWidth="1"/>
    <col min="2320" max="2320" width="12.7109375" style="21" bestFit="1" customWidth="1"/>
    <col min="2321" max="2321" width="12.5703125" style="21" customWidth="1"/>
    <col min="2322" max="2322" width="5.85546875" style="21" customWidth="1"/>
    <col min="2323" max="2323" width="13.28515625" style="21" bestFit="1" customWidth="1"/>
    <col min="2324" max="2324" width="9.85546875" style="21" customWidth="1"/>
    <col min="2325" max="2325" width="18.42578125" style="21" customWidth="1"/>
    <col min="2326" max="2326" width="13.140625" style="21" bestFit="1" customWidth="1"/>
    <col min="2327" max="2327" width="0" style="21" hidden="1" customWidth="1"/>
    <col min="2328" max="2328" width="9.140625" style="21"/>
    <col min="2329" max="2329" width="13.28515625" style="21" bestFit="1" customWidth="1"/>
    <col min="2330" max="2330" width="9.85546875" style="21" bestFit="1" customWidth="1"/>
    <col min="2331" max="2331" width="13.28515625" style="21" bestFit="1" customWidth="1"/>
    <col min="2332" max="2562" width="9.140625" style="21"/>
    <col min="2563" max="2563" width="9.28515625" style="21" bestFit="1" customWidth="1"/>
    <col min="2564" max="2564" width="5" style="21" customWidth="1"/>
    <col min="2565" max="2565" width="37.5703125" style="21" customWidth="1"/>
    <col min="2566" max="2566" width="8.5703125" style="21" customWidth="1"/>
    <col min="2567" max="2567" width="7.85546875" style="21" bestFit="1" customWidth="1"/>
    <col min="2568" max="2570" width="15.7109375" style="21" customWidth="1"/>
    <col min="2571" max="2575" width="0" style="21" hidden="1" customWidth="1"/>
    <col min="2576" max="2576" width="12.7109375" style="21" bestFit="1" customWidth="1"/>
    <col min="2577" max="2577" width="12.5703125" style="21" customWidth="1"/>
    <col min="2578" max="2578" width="5.85546875" style="21" customWidth="1"/>
    <col min="2579" max="2579" width="13.28515625" style="21" bestFit="1" customWidth="1"/>
    <col min="2580" max="2580" width="9.85546875" style="21" customWidth="1"/>
    <col min="2581" max="2581" width="18.42578125" style="21" customWidth="1"/>
    <col min="2582" max="2582" width="13.140625" style="21" bestFit="1" customWidth="1"/>
    <col min="2583" max="2583" width="0" style="21" hidden="1" customWidth="1"/>
    <col min="2584" max="2584" width="9.140625" style="21"/>
    <col min="2585" max="2585" width="13.28515625" style="21" bestFit="1" customWidth="1"/>
    <col min="2586" max="2586" width="9.85546875" style="21" bestFit="1" customWidth="1"/>
    <col min="2587" max="2587" width="13.28515625" style="21" bestFit="1" customWidth="1"/>
    <col min="2588" max="2818" width="9.140625" style="21"/>
    <col min="2819" max="2819" width="9.28515625" style="21" bestFit="1" customWidth="1"/>
    <col min="2820" max="2820" width="5" style="21" customWidth="1"/>
    <col min="2821" max="2821" width="37.5703125" style="21" customWidth="1"/>
    <col min="2822" max="2822" width="8.5703125" style="21" customWidth="1"/>
    <col min="2823" max="2823" width="7.85546875" style="21" bestFit="1" customWidth="1"/>
    <col min="2824" max="2826" width="15.7109375" style="21" customWidth="1"/>
    <col min="2827" max="2831" width="0" style="21" hidden="1" customWidth="1"/>
    <col min="2832" max="2832" width="12.7109375" style="21" bestFit="1" customWidth="1"/>
    <col min="2833" max="2833" width="12.5703125" style="21" customWidth="1"/>
    <col min="2834" max="2834" width="5.85546875" style="21" customWidth="1"/>
    <col min="2835" max="2835" width="13.28515625" style="21" bestFit="1" customWidth="1"/>
    <col min="2836" max="2836" width="9.85546875" style="21" customWidth="1"/>
    <col min="2837" max="2837" width="18.42578125" style="21" customWidth="1"/>
    <col min="2838" max="2838" width="13.140625" style="21" bestFit="1" customWidth="1"/>
    <col min="2839" max="2839" width="0" style="21" hidden="1" customWidth="1"/>
    <col min="2840" max="2840" width="9.140625" style="21"/>
    <col min="2841" max="2841" width="13.28515625" style="21" bestFit="1" customWidth="1"/>
    <col min="2842" max="2842" width="9.85546875" style="21" bestFit="1" customWidth="1"/>
    <col min="2843" max="2843" width="13.28515625" style="21" bestFit="1" customWidth="1"/>
    <col min="2844" max="3074" width="9.140625" style="21"/>
    <col min="3075" max="3075" width="9.28515625" style="21" bestFit="1" customWidth="1"/>
    <col min="3076" max="3076" width="5" style="21" customWidth="1"/>
    <col min="3077" max="3077" width="37.5703125" style="21" customWidth="1"/>
    <col min="3078" max="3078" width="8.5703125" style="21" customWidth="1"/>
    <col min="3079" max="3079" width="7.85546875" style="21" bestFit="1" customWidth="1"/>
    <col min="3080" max="3082" width="15.7109375" style="21" customWidth="1"/>
    <col min="3083" max="3087" width="0" style="21" hidden="1" customWidth="1"/>
    <col min="3088" max="3088" width="12.7109375" style="21" bestFit="1" customWidth="1"/>
    <col min="3089" max="3089" width="12.5703125" style="21" customWidth="1"/>
    <col min="3090" max="3090" width="5.85546875" style="21" customWidth="1"/>
    <col min="3091" max="3091" width="13.28515625" style="21" bestFit="1" customWidth="1"/>
    <col min="3092" max="3092" width="9.85546875" style="21" customWidth="1"/>
    <col min="3093" max="3093" width="18.42578125" style="21" customWidth="1"/>
    <col min="3094" max="3094" width="13.140625" style="21" bestFit="1" customWidth="1"/>
    <col min="3095" max="3095" width="0" style="21" hidden="1" customWidth="1"/>
    <col min="3096" max="3096" width="9.140625" style="21"/>
    <col min="3097" max="3097" width="13.28515625" style="21" bestFit="1" customWidth="1"/>
    <col min="3098" max="3098" width="9.85546875" style="21" bestFit="1" customWidth="1"/>
    <col min="3099" max="3099" width="13.28515625" style="21" bestFit="1" customWidth="1"/>
    <col min="3100" max="3330" width="9.140625" style="21"/>
    <col min="3331" max="3331" width="9.28515625" style="21" bestFit="1" customWidth="1"/>
    <col min="3332" max="3332" width="5" style="21" customWidth="1"/>
    <col min="3333" max="3333" width="37.5703125" style="21" customWidth="1"/>
    <col min="3334" max="3334" width="8.5703125" style="21" customWidth="1"/>
    <col min="3335" max="3335" width="7.85546875" style="21" bestFit="1" customWidth="1"/>
    <col min="3336" max="3338" width="15.7109375" style="21" customWidth="1"/>
    <col min="3339" max="3343" width="0" style="21" hidden="1" customWidth="1"/>
    <col min="3344" max="3344" width="12.7109375" style="21" bestFit="1" customWidth="1"/>
    <col min="3345" max="3345" width="12.5703125" style="21" customWidth="1"/>
    <col min="3346" max="3346" width="5.85546875" style="21" customWidth="1"/>
    <col min="3347" max="3347" width="13.28515625" style="21" bestFit="1" customWidth="1"/>
    <col min="3348" max="3348" width="9.85546875" style="21" customWidth="1"/>
    <col min="3349" max="3349" width="18.42578125" style="21" customWidth="1"/>
    <col min="3350" max="3350" width="13.140625" style="21" bestFit="1" customWidth="1"/>
    <col min="3351" max="3351" width="0" style="21" hidden="1" customWidth="1"/>
    <col min="3352" max="3352" width="9.140625" style="21"/>
    <col min="3353" max="3353" width="13.28515625" style="21" bestFit="1" customWidth="1"/>
    <col min="3354" max="3354" width="9.85546875" style="21" bestFit="1" customWidth="1"/>
    <col min="3355" max="3355" width="13.28515625" style="21" bestFit="1" customWidth="1"/>
    <col min="3356" max="3586" width="9.140625" style="21"/>
    <col min="3587" max="3587" width="9.28515625" style="21" bestFit="1" customWidth="1"/>
    <col min="3588" max="3588" width="5" style="21" customWidth="1"/>
    <col min="3589" max="3589" width="37.5703125" style="21" customWidth="1"/>
    <col min="3590" max="3590" width="8.5703125" style="21" customWidth="1"/>
    <col min="3591" max="3591" width="7.85546875" style="21" bestFit="1" customWidth="1"/>
    <col min="3592" max="3594" width="15.7109375" style="21" customWidth="1"/>
    <col min="3595" max="3599" width="0" style="21" hidden="1" customWidth="1"/>
    <col min="3600" max="3600" width="12.7109375" style="21" bestFit="1" customWidth="1"/>
    <col min="3601" max="3601" width="12.5703125" style="21" customWidth="1"/>
    <col min="3602" max="3602" width="5.85546875" style="21" customWidth="1"/>
    <col min="3603" max="3603" width="13.28515625" style="21" bestFit="1" customWidth="1"/>
    <col min="3604" max="3604" width="9.85546875" style="21" customWidth="1"/>
    <col min="3605" max="3605" width="18.42578125" style="21" customWidth="1"/>
    <col min="3606" max="3606" width="13.140625" style="21" bestFit="1" customWidth="1"/>
    <col min="3607" max="3607" width="0" style="21" hidden="1" customWidth="1"/>
    <col min="3608" max="3608" width="9.140625" style="21"/>
    <col min="3609" max="3609" width="13.28515625" style="21" bestFit="1" customWidth="1"/>
    <col min="3610" max="3610" width="9.85546875" style="21" bestFit="1" customWidth="1"/>
    <col min="3611" max="3611" width="13.28515625" style="21" bestFit="1" customWidth="1"/>
    <col min="3612" max="3842" width="9.140625" style="21"/>
    <col min="3843" max="3843" width="9.28515625" style="21" bestFit="1" customWidth="1"/>
    <col min="3844" max="3844" width="5" style="21" customWidth="1"/>
    <col min="3845" max="3845" width="37.5703125" style="21" customWidth="1"/>
    <col min="3846" max="3846" width="8.5703125" style="21" customWidth="1"/>
    <col min="3847" max="3847" width="7.85546875" style="21" bestFit="1" customWidth="1"/>
    <col min="3848" max="3850" width="15.7109375" style="21" customWidth="1"/>
    <col min="3851" max="3855" width="0" style="21" hidden="1" customWidth="1"/>
    <col min="3856" max="3856" width="12.7109375" style="21" bestFit="1" customWidth="1"/>
    <col min="3857" max="3857" width="12.5703125" style="21" customWidth="1"/>
    <col min="3858" max="3858" width="5.85546875" style="21" customWidth="1"/>
    <col min="3859" max="3859" width="13.28515625" style="21" bestFit="1" customWidth="1"/>
    <col min="3860" max="3860" width="9.85546875" style="21" customWidth="1"/>
    <col min="3861" max="3861" width="18.42578125" style="21" customWidth="1"/>
    <col min="3862" max="3862" width="13.140625" style="21" bestFit="1" customWidth="1"/>
    <col min="3863" max="3863" width="0" style="21" hidden="1" customWidth="1"/>
    <col min="3864" max="3864" width="9.140625" style="21"/>
    <col min="3865" max="3865" width="13.28515625" style="21" bestFit="1" customWidth="1"/>
    <col min="3866" max="3866" width="9.85546875" style="21" bestFit="1" customWidth="1"/>
    <col min="3867" max="3867" width="13.28515625" style="21" bestFit="1" customWidth="1"/>
    <col min="3868" max="4098" width="9.140625" style="21"/>
    <col min="4099" max="4099" width="9.28515625" style="21" bestFit="1" customWidth="1"/>
    <col min="4100" max="4100" width="5" style="21" customWidth="1"/>
    <col min="4101" max="4101" width="37.5703125" style="21" customWidth="1"/>
    <col min="4102" max="4102" width="8.5703125" style="21" customWidth="1"/>
    <col min="4103" max="4103" width="7.85546875" style="21" bestFit="1" customWidth="1"/>
    <col min="4104" max="4106" width="15.7109375" style="21" customWidth="1"/>
    <col min="4107" max="4111" width="0" style="21" hidden="1" customWidth="1"/>
    <col min="4112" max="4112" width="12.7109375" style="21" bestFit="1" customWidth="1"/>
    <col min="4113" max="4113" width="12.5703125" style="21" customWidth="1"/>
    <col min="4114" max="4114" width="5.85546875" style="21" customWidth="1"/>
    <col min="4115" max="4115" width="13.28515625" style="21" bestFit="1" customWidth="1"/>
    <col min="4116" max="4116" width="9.85546875" style="21" customWidth="1"/>
    <col min="4117" max="4117" width="18.42578125" style="21" customWidth="1"/>
    <col min="4118" max="4118" width="13.140625" style="21" bestFit="1" customWidth="1"/>
    <col min="4119" max="4119" width="0" style="21" hidden="1" customWidth="1"/>
    <col min="4120" max="4120" width="9.140625" style="21"/>
    <col min="4121" max="4121" width="13.28515625" style="21" bestFit="1" customWidth="1"/>
    <col min="4122" max="4122" width="9.85546875" style="21" bestFit="1" customWidth="1"/>
    <col min="4123" max="4123" width="13.28515625" style="21" bestFit="1" customWidth="1"/>
    <col min="4124" max="4354" width="9.140625" style="21"/>
    <col min="4355" max="4355" width="9.28515625" style="21" bestFit="1" customWidth="1"/>
    <col min="4356" max="4356" width="5" style="21" customWidth="1"/>
    <col min="4357" max="4357" width="37.5703125" style="21" customWidth="1"/>
    <col min="4358" max="4358" width="8.5703125" style="21" customWidth="1"/>
    <col min="4359" max="4359" width="7.85546875" style="21" bestFit="1" customWidth="1"/>
    <col min="4360" max="4362" width="15.7109375" style="21" customWidth="1"/>
    <col min="4363" max="4367" width="0" style="21" hidden="1" customWidth="1"/>
    <col min="4368" max="4368" width="12.7109375" style="21" bestFit="1" customWidth="1"/>
    <col min="4369" max="4369" width="12.5703125" style="21" customWidth="1"/>
    <col min="4370" max="4370" width="5.85546875" style="21" customWidth="1"/>
    <col min="4371" max="4371" width="13.28515625" style="21" bestFit="1" customWidth="1"/>
    <col min="4372" max="4372" width="9.85546875" style="21" customWidth="1"/>
    <col min="4373" max="4373" width="18.42578125" style="21" customWidth="1"/>
    <col min="4374" max="4374" width="13.140625" style="21" bestFit="1" customWidth="1"/>
    <col min="4375" max="4375" width="0" style="21" hidden="1" customWidth="1"/>
    <col min="4376" max="4376" width="9.140625" style="21"/>
    <col min="4377" max="4377" width="13.28515625" style="21" bestFit="1" customWidth="1"/>
    <col min="4378" max="4378" width="9.85546875" style="21" bestFit="1" customWidth="1"/>
    <col min="4379" max="4379" width="13.28515625" style="21" bestFit="1" customWidth="1"/>
    <col min="4380" max="4610" width="9.140625" style="21"/>
    <col min="4611" max="4611" width="9.28515625" style="21" bestFit="1" customWidth="1"/>
    <col min="4612" max="4612" width="5" style="21" customWidth="1"/>
    <col min="4613" max="4613" width="37.5703125" style="21" customWidth="1"/>
    <col min="4614" max="4614" width="8.5703125" style="21" customWidth="1"/>
    <col min="4615" max="4615" width="7.85546875" style="21" bestFit="1" customWidth="1"/>
    <col min="4616" max="4618" width="15.7109375" style="21" customWidth="1"/>
    <col min="4619" max="4623" width="0" style="21" hidden="1" customWidth="1"/>
    <col min="4624" max="4624" width="12.7109375" style="21" bestFit="1" customWidth="1"/>
    <col min="4625" max="4625" width="12.5703125" style="21" customWidth="1"/>
    <col min="4626" max="4626" width="5.85546875" style="21" customWidth="1"/>
    <col min="4627" max="4627" width="13.28515625" style="21" bestFit="1" customWidth="1"/>
    <col min="4628" max="4628" width="9.85546875" style="21" customWidth="1"/>
    <col min="4629" max="4629" width="18.42578125" style="21" customWidth="1"/>
    <col min="4630" max="4630" width="13.140625" style="21" bestFit="1" customWidth="1"/>
    <col min="4631" max="4631" width="0" style="21" hidden="1" customWidth="1"/>
    <col min="4632" max="4632" width="9.140625" style="21"/>
    <col min="4633" max="4633" width="13.28515625" style="21" bestFit="1" customWidth="1"/>
    <col min="4634" max="4634" width="9.85546875" style="21" bestFit="1" customWidth="1"/>
    <col min="4635" max="4635" width="13.28515625" style="21" bestFit="1" customWidth="1"/>
    <col min="4636" max="4866" width="9.140625" style="21"/>
    <col min="4867" max="4867" width="9.28515625" style="21" bestFit="1" customWidth="1"/>
    <col min="4868" max="4868" width="5" style="21" customWidth="1"/>
    <col min="4869" max="4869" width="37.5703125" style="21" customWidth="1"/>
    <col min="4870" max="4870" width="8.5703125" style="21" customWidth="1"/>
    <col min="4871" max="4871" width="7.85546875" style="21" bestFit="1" customWidth="1"/>
    <col min="4872" max="4874" width="15.7109375" style="21" customWidth="1"/>
    <col min="4875" max="4879" width="0" style="21" hidden="1" customWidth="1"/>
    <col min="4880" max="4880" width="12.7109375" style="21" bestFit="1" customWidth="1"/>
    <col min="4881" max="4881" width="12.5703125" style="21" customWidth="1"/>
    <col min="4882" max="4882" width="5.85546875" style="21" customWidth="1"/>
    <col min="4883" max="4883" width="13.28515625" style="21" bestFit="1" customWidth="1"/>
    <col min="4884" max="4884" width="9.85546875" style="21" customWidth="1"/>
    <col min="4885" max="4885" width="18.42578125" style="21" customWidth="1"/>
    <col min="4886" max="4886" width="13.140625" style="21" bestFit="1" customWidth="1"/>
    <col min="4887" max="4887" width="0" style="21" hidden="1" customWidth="1"/>
    <col min="4888" max="4888" width="9.140625" style="21"/>
    <col min="4889" max="4889" width="13.28515625" style="21" bestFit="1" customWidth="1"/>
    <col min="4890" max="4890" width="9.85546875" style="21" bestFit="1" customWidth="1"/>
    <col min="4891" max="4891" width="13.28515625" style="21" bestFit="1" customWidth="1"/>
    <col min="4892" max="5122" width="9.140625" style="21"/>
    <col min="5123" max="5123" width="9.28515625" style="21" bestFit="1" customWidth="1"/>
    <col min="5124" max="5124" width="5" style="21" customWidth="1"/>
    <col min="5125" max="5125" width="37.5703125" style="21" customWidth="1"/>
    <col min="5126" max="5126" width="8.5703125" style="21" customWidth="1"/>
    <col min="5127" max="5127" width="7.85546875" style="21" bestFit="1" customWidth="1"/>
    <col min="5128" max="5130" width="15.7109375" style="21" customWidth="1"/>
    <col min="5131" max="5135" width="0" style="21" hidden="1" customWidth="1"/>
    <col min="5136" max="5136" width="12.7109375" style="21" bestFit="1" customWidth="1"/>
    <col min="5137" max="5137" width="12.5703125" style="21" customWidth="1"/>
    <col min="5138" max="5138" width="5.85546875" style="21" customWidth="1"/>
    <col min="5139" max="5139" width="13.28515625" style="21" bestFit="1" customWidth="1"/>
    <col min="5140" max="5140" width="9.85546875" style="21" customWidth="1"/>
    <col min="5141" max="5141" width="18.42578125" style="21" customWidth="1"/>
    <col min="5142" max="5142" width="13.140625" style="21" bestFit="1" customWidth="1"/>
    <col min="5143" max="5143" width="0" style="21" hidden="1" customWidth="1"/>
    <col min="5144" max="5144" width="9.140625" style="21"/>
    <col min="5145" max="5145" width="13.28515625" style="21" bestFit="1" customWidth="1"/>
    <col min="5146" max="5146" width="9.85546875" style="21" bestFit="1" customWidth="1"/>
    <col min="5147" max="5147" width="13.28515625" style="21" bestFit="1" customWidth="1"/>
    <col min="5148" max="5378" width="9.140625" style="21"/>
    <col min="5379" max="5379" width="9.28515625" style="21" bestFit="1" customWidth="1"/>
    <col min="5380" max="5380" width="5" style="21" customWidth="1"/>
    <col min="5381" max="5381" width="37.5703125" style="21" customWidth="1"/>
    <col min="5382" max="5382" width="8.5703125" style="21" customWidth="1"/>
    <col min="5383" max="5383" width="7.85546875" style="21" bestFit="1" customWidth="1"/>
    <col min="5384" max="5386" width="15.7109375" style="21" customWidth="1"/>
    <col min="5387" max="5391" width="0" style="21" hidden="1" customWidth="1"/>
    <col min="5392" max="5392" width="12.7109375" style="21" bestFit="1" customWidth="1"/>
    <col min="5393" max="5393" width="12.5703125" style="21" customWidth="1"/>
    <col min="5394" max="5394" width="5.85546875" style="21" customWidth="1"/>
    <col min="5395" max="5395" width="13.28515625" style="21" bestFit="1" customWidth="1"/>
    <col min="5396" max="5396" width="9.85546875" style="21" customWidth="1"/>
    <col min="5397" max="5397" width="18.42578125" style="21" customWidth="1"/>
    <col min="5398" max="5398" width="13.140625" style="21" bestFit="1" customWidth="1"/>
    <col min="5399" max="5399" width="0" style="21" hidden="1" customWidth="1"/>
    <col min="5400" max="5400" width="9.140625" style="21"/>
    <col min="5401" max="5401" width="13.28515625" style="21" bestFit="1" customWidth="1"/>
    <col min="5402" max="5402" width="9.85546875" style="21" bestFit="1" customWidth="1"/>
    <col min="5403" max="5403" width="13.28515625" style="21" bestFit="1" customWidth="1"/>
    <col min="5404" max="5634" width="9.140625" style="21"/>
    <col min="5635" max="5635" width="9.28515625" style="21" bestFit="1" customWidth="1"/>
    <col min="5636" max="5636" width="5" style="21" customWidth="1"/>
    <col min="5637" max="5637" width="37.5703125" style="21" customWidth="1"/>
    <col min="5638" max="5638" width="8.5703125" style="21" customWidth="1"/>
    <col min="5639" max="5639" width="7.85546875" style="21" bestFit="1" customWidth="1"/>
    <col min="5640" max="5642" width="15.7109375" style="21" customWidth="1"/>
    <col min="5643" max="5647" width="0" style="21" hidden="1" customWidth="1"/>
    <col min="5648" max="5648" width="12.7109375" style="21" bestFit="1" customWidth="1"/>
    <col min="5649" max="5649" width="12.5703125" style="21" customWidth="1"/>
    <col min="5650" max="5650" width="5.85546875" style="21" customWidth="1"/>
    <col min="5651" max="5651" width="13.28515625" style="21" bestFit="1" customWidth="1"/>
    <col min="5652" max="5652" width="9.85546875" style="21" customWidth="1"/>
    <col min="5653" max="5653" width="18.42578125" style="21" customWidth="1"/>
    <col min="5654" max="5654" width="13.140625" style="21" bestFit="1" customWidth="1"/>
    <col min="5655" max="5655" width="0" style="21" hidden="1" customWidth="1"/>
    <col min="5656" max="5656" width="9.140625" style="21"/>
    <col min="5657" max="5657" width="13.28515625" style="21" bestFit="1" customWidth="1"/>
    <col min="5658" max="5658" width="9.85546875" style="21" bestFit="1" customWidth="1"/>
    <col min="5659" max="5659" width="13.28515625" style="21" bestFit="1" customWidth="1"/>
    <col min="5660" max="5890" width="9.140625" style="21"/>
    <col min="5891" max="5891" width="9.28515625" style="21" bestFit="1" customWidth="1"/>
    <col min="5892" max="5892" width="5" style="21" customWidth="1"/>
    <col min="5893" max="5893" width="37.5703125" style="21" customWidth="1"/>
    <col min="5894" max="5894" width="8.5703125" style="21" customWidth="1"/>
    <col min="5895" max="5895" width="7.85546875" style="21" bestFit="1" customWidth="1"/>
    <col min="5896" max="5898" width="15.7109375" style="21" customWidth="1"/>
    <col min="5899" max="5903" width="0" style="21" hidden="1" customWidth="1"/>
    <col min="5904" max="5904" width="12.7109375" style="21" bestFit="1" customWidth="1"/>
    <col min="5905" max="5905" width="12.5703125" style="21" customWidth="1"/>
    <col min="5906" max="5906" width="5.85546875" style="21" customWidth="1"/>
    <col min="5907" max="5907" width="13.28515625" style="21" bestFit="1" customWidth="1"/>
    <col min="5908" max="5908" width="9.85546875" style="21" customWidth="1"/>
    <col min="5909" max="5909" width="18.42578125" style="21" customWidth="1"/>
    <col min="5910" max="5910" width="13.140625" style="21" bestFit="1" customWidth="1"/>
    <col min="5911" max="5911" width="0" style="21" hidden="1" customWidth="1"/>
    <col min="5912" max="5912" width="9.140625" style="21"/>
    <col min="5913" max="5913" width="13.28515625" style="21" bestFit="1" customWidth="1"/>
    <col min="5914" max="5914" width="9.85546875" style="21" bestFit="1" customWidth="1"/>
    <col min="5915" max="5915" width="13.28515625" style="21" bestFit="1" customWidth="1"/>
    <col min="5916" max="6146" width="9.140625" style="21"/>
    <col min="6147" max="6147" width="9.28515625" style="21" bestFit="1" customWidth="1"/>
    <col min="6148" max="6148" width="5" style="21" customWidth="1"/>
    <col min="6149" max="6149" width="37.5703125" style="21" customWidth="1"/>
    <col min="6150" max="6150" width="8.5703125" style="21" customWidth="1"/>
    <col min="6151" max="6151" width="7.85546875" style="21" bestFit="1" customWidth="1"/>
    <col min="6152" max="6154" width="15.7109375" style="21" customWidth="1"/>
    <col min="6155" max="6159" width="0" style="21" hidden="1" customWidth="1"/>
    <col min="6160" max="6160" width="12.7109375" style="21" bestFit="1" customWidth="1"/>
    <col min="6161" max="6161" width="12.5703125" style="21" customWidth="1"/>
    <col min="6162" max="6162" width="5.85546875" style="21" customWidth="1"/>
    <col min="6163" max="6163" width="13.28515625" style="21" bestFit="1" customWidth="1"/>
    <col min="6164" max="6164" width="9.85546875" style="21" customWidth="1"/>
    <col min="6165" max="6165" width="18.42578125" style="21" customWidth="1"/>
    <col min="6166" max="6166" width="13.140625" style="21" bestFit="1" customWidth="1"/>
    <col min="6167" max="6167" width="0" style="21" hidden="1" customWidth="1"/>
    <col min="6168" max="6168" width="9.140625" style="21"/>
    <col min="6169" max="6169" width="13.28515625" style="21" bestFit="1" customWidth="1"/>
    <col min="6170" max="6170" width="9.85546875" style="21" bestFit="1" customWidth="1"/>
    <col min="6171" max="6171" width="13.28515625" style="21" bestFit="1" customWidth="1"/>
    <col min="6172" max="6402" width="9.140625" style="21"/>
    <col min="6403" max="6403" width="9.28515625" style="21" bestFit="1" customWidth="1"/>
    <col min="6404" max="6404" width="5" style="21" customWidth="1"/>
    <col min="6405" max="6405" width="37.5703125" style="21" customWidth="1"/>
    <col min="6406" max="6406" width="8.5703125" style="21" customWidth="1"/>
    <col min="6407" max="6407" width="7.85546875" style="21" bestFit="1" customWidth="1"/>
    <col min="6408" max="6410" width="15.7109375" style="21" customWidth="1"/>
    <col min="6411" max="6415" width="0" style="21" hidden="1" customWidth="1"/>
    <col min="6416" max="6416" width="12.7109375" style="21" bestFit="1" customWidth="1"/>
    <col min="6417" max="6417" width="12.5703125" style="21" customWidth="1"/>
    <col min="6418" max="6418" width="5.85546875" style="21" customWidth="1"/>
    <col min="6419" max="6419" width="13.28515625" style="21" bestFit="1" customWidth="1"/>
    <col min="6420" max="6420" width="9.85546875" style="21" customWidth="1"/>
    <col min="6421" max="6421" width="18.42578125" style="21" customWidth="1"/>
    <col min="6422" max="6422" width="13.140625" style="21" bestFit="1" customWidth="1"/>
    <col min="6423" max="6423" width="0" style="21" hidden="1" customWidth="1"/>
    <col min="6424" max="6424" width="9.140625" style="21"/>
    <col min="6425" max="6425" width="13.28515625" style="21" bestFit="1" customWidth="1"/>
    <col min="6426" max="6426" width="9.85546875" style="21" bestFit="1" customWidth="1"/>
    <col min="6427" max="6427" width="13.28515625" style="21" bestFit="1" customWidth="1"/>
    <col min="6428" max="6658" width="9.140625" style="21"/>
    <col min="6659" max="6659" width="9.28515625" style="21" bestFit="1" customWidth="1"/>
    <col min="6660" max="6660" width="5" style="21" customWidth="1"/>
    <col min="6661" max="6661" width="37.5703125" style="21" customWidth="1"/>
    <col min="6662" max="6662" width="8.5703125" style="21" customWidth="1"/>
    <col min="6663" max="6663" width="7.85546875" style="21" bestFit="1" customWidth="1"/>
    <col min="6664" max="6666" width="15.7109375" style="21" customWidth="1"/>
    <col min="6667" max="6671" width="0" style="21" hidden="1" customWidth="1"/>
    <col min="6672" max="6672" width="12.7109375" style="21" bestFit="1" customWidth="1"/>
    <col min="6673" max="6673" width="12.5703125" style="21" customWidth="1"/>
    <col min="6674" max="6674" width="5.85546875" style="21" customWidth="1"/>
    <col min="6675" max="6675" width="13.28515625" style="21" bestFit="1" customWidth="1"/>
    <col min="6676" max="6676" width="9.85546875" style="21" customWidth="1"/>
    <col min="6677" max="6677" width="18.42578125" style="21" customWidth="1"/>
    <col min="6678" max="6678" width="13.140625" style="21" bestFit="1" customWidth="1"/>
    <col min="6679" max="6679" width="0" style="21" hidden="1" customWidth="1"/>
    <col min="6680" max="6680" width="9.140625" style="21"/>
    <col min="6681" max="6681" width="13.28515625" style="21" bestFit="1" customWidth="1"/>
    <col min="6682" max="6682" width="9.85546875" style="21" bestFit="1" customWidth="1"/>
    <col min="6683" max="6683" width="13.28515625" style="21" bestFit="1" customWidth="1"/>
    <col min="6684" max="6914" width="9.140625" style="21"/>
    <col min="6915" max="6915" width="9.28515625" style="21" bestFit="1" customWidth="1"/>
    <col min="6916" max="6916" width="5" style="21" customWidth="1"/>
    <col min="6917" max="6917" width="37.5703125" style="21" customWidth="1"/>
    <col min="6918" max="6918" width="8.5703125" style="21" customWidth="1"/>
    <col min="6919" max="6919" width="7.85546875" style="21" bestFit="1" customWidth="1"/>
    <col min="6920" max="6922" width="15.7109375" style="21" customWidth="1"/>
    <col min="6923" max="6927" width="0" style="21" hidden="1" customWidth="1"/>
    <col min="6928" max="6928" width="12.7109375" style="21" bestFit="1" customWidth="1"/>
    <col min="6929" max="6929" width="12.5703125" style="21" customWidth="1"/>
    <col min="6930" max="6930" width="5.85546875" style="21" customWidth="1"/>
    <col min="6931" max="6931" width="13.28515625" style="21" bestFit="1" customWidth="1"/>
    <col min="6932" max="6932" width="9.85546875" style="21" customWidth="1"/>
    <col min="6933" max="6933" width="18.42578125" style="21" customWidth="1"/>
    <col min="6934" max="6934" width="13.140625" style="21" bestFit="1" customWidth="1"/>
    <col min="6935" max="6935" width="0" style="21" hidden="1" customWidth="1"/>
    <col min="6936" max="6936" width="9.140625" style="21"/>
    <col min="6937" max="6937" width="13.28515625" style="21" bestFit="1" customWidth="1"/>
    <col min="6938" max="6938" width="9.85546875" style="21" bestFit="1" customWidth="1"/>
    <col min="6939" max="6939" width="13.28515625" style="21" bestFit="1" customWidth="1"/>
    <col min="6940" max="7170" width="9.140625" style="21"/>
    <col min="7171" max="7171" width="9.28515625" style="21" bestFit="1" customWidth="1"/>
    <col min="7172" max="7172" width="5" style="21" customWidth="1"/>
    <col min="7173" max="7173" width="37.5703125" style="21" customWidth="1"/>
    <col min="7174" max="7174" width="8.5703125" style="21" customWidth="1"/>
    <col min="7175" max="7175" width="7.85546875" style="21" bestFit="1" customWidth="1"/>
    <col min="7176" max="7178" width="15.7109375" style="21" customWidth="1"/>
    <col min="7179" max="7183" width="0" style="21" hidden="1" customWidth="1"/>
    <col min="7184" max="7184" width="12.7109375" style="21" bestFit="1" customWidth="1"/>
    <col min="7185" max="7185" width="12.5703125" style="21" customWidth="1"/>
    <col min="7186" max="7186" width="5.85546875" style="21" customWidth="1"/>
    <col min="7187" max="7187" width="13.28515625" style="21" bestFit="1" customWidth="1"/>
    <col min="7188" max="7188" width="9.85546875" style="21" customWidth="1"/>
    <col min="7189" max="7189" width="18.42578125" style="21" customWidth="1"/>
    <col min="7190" max="7190" width="13.140625" style="21" bestFit="1" customWidth="1"/>
    <col min="7191" max="7191" width="0" style="21" hidden="1" customWidth="1"/>
    <col min="7192" max="7192" width="9.140625" style="21"/>
    <col min="7193" max="7193" width="13.28515625" style="21" bestFit="1" customWidth="1"/>
    <col min="7194" max="7194" width="9.85546875" style="21" bestFit="1" customWidth="1"/>
    <col min="7195" max="7195" width="13.28515625" style="21" bestFit="1" customWidth="1"/>
    <col min="7196" max="7426" width="9.140625" style="21"/>
    <col min="7427" max="7427" width="9.28515625" style="21" bestFit="1" customWidth="1"/>
    <col min="7428" max="7428" width="5" style="21" customWidth="1"/>
    <col min="7429" max="7429" width="37.5703125" style="21" customWidth="1"/>
    <col min="7430" max="7430" width="8.5703125" style="21" customWidth="1"/>
    <col min="7431" max="7431" width="7.85546875" style="21" bestFit="1" customWidth="1"/>
    <col min="7432" max="7434" width="15.7109375" style="21" customWidth="1"/>
    <col min="7435" max="7439" width="0" style="21" hidden="1" customWidth="1"/>
    <col min="7440" max="7440" width="12.7109375" style="21" bestFit="1" customWidth="1"/>
    <col min="7441" max="7441" width="12.5703125" style="21" customWidth="1"/>
    <col min="7442" max="7442" width="5.85546875" style="21" customWidth="1"/>
    <col min="7443" max="7443" width="13.28515625" style="21" bestFit="1" customWidth="1"/>
    <col min="7444" max="7444" width="9.85546875" style="21" customWidth="1"/>
    <col min="7445" max="7445" width="18.42578125" style="21" customWidth="1"/>
    <col min="7446" max="7446" width="13.140625" style="21" bestFit="1" customWidth="1"/>
    <col min="7447" max="7447" width="0" style="21" hidden="1" customWidth="1"/>
    <col min="7448" max="7448" width="9.140625" style="21"/>
    <col min="7449" max="7449" width="13.28515625" style="21" bestFit="1" customWidth="1"/>
    <col min="7450" max="7450" width="9.85546875" style="21" bestFit="1" customWidth="1"/>
    <col min="7451" max="7451" width="13.28515625" style="21" bestFit="1" customWidth="1"/>
    <col min="7452" max="7682" width="9.140625" style="21"/>
    <col min="7683" max="7683" width="9.28515625" style="21" bestFit="1" customWidth="1"/>
    <col min="7684" max="7684" width="5" style="21" customWidth="1"/>
    <col min="7685" max="7685" width="37.5703125" style="21" customWidth="1"/>
    <col min="7686" max="7686" width="8.5703125" style="21" customWidth="1"/>
    <col min="7687" max="7687" width="7.85546875" style="21" bestFit="1" customWidth="1"/>
    <col min="7688" max="7690" width="15.7109375" style="21" customWidth="1"/>
    <col min="7691" max="7695" width="0" style="21" hidden="1" customWidth="1"/>
    <col min="7696" max="7696" width="12.7109375" style="21" bestFit="1" customWidth="1"/>
    <col min="7697" max="7697" width="12.5703125" style="21" customWidth="1"/>
    <col min="7698" max="7698" width="5.85546875" style="21" customWidth="1"/>
    <col min="7699" max="7699" width="13.28515625" style="21" bestFit="1" customWidth="1"/>
    <col min="7700" max="7700" width="9.85546875" style="21" customWidth="1"/>
    <col min="7701" max="7701" width="18.42578125" style="21" customWidth="1"/>
    <col min="7702" max="7702" width="13.140625" style="21" bestFit="1" customWidth="1"/>
    <col min="7703" max="7703" width="0" style="21" hidden="1" customWidth="1"/>
    <col min="7704" max="7704" width="9.140625" style="21"/>
    <col min="7705" max="7705" width="13.28515625" style="21" bestFit="1" customWidth="1"/>
    <col min="7706" max="7706" width="9.85546875" style="21" bestFit="1" customWidth="1"/>
    <col min="7707" max="7707" width="13.28515625" style="21" bestFit="1" customWidth="1"/>
    <col min="7708" max="7938" width="9.140625" style="21"/>
    <col min="7939" max="7939" width="9.28515625" style="21" bestFit="1" customWidth="1"/>
    <col min="7940" max="7940" width="5" style="21" customWidth="1"/>
    <col min="7941" max="7941" width="37.5703125" style="21" customWidth="1"/>
    <col min="7942" max="7942" width="8.5703125" style="21" customWidth="1"/>
    <col min="7943" max="7943" width="7.85546875" style="21" bestFit="1" customWidth="1"/>
    <col min="7944" max="7946" width="15.7109375" style="21" customWidth="1"/>
    <col min="7947" max="7951" width="0" style="21" hidden="1" customWidth="1"/>
    <col min="7952" max="7952" width="12.7109375" style="21" bestFit="1" customWidth="1"/>
    <col min="7953" max="7953" width="12.5703125" style="21" customWidth="1"/>
    <col min="7954" max="7954" width="5.85546875" style="21" customWidth="1"/>
    <col min="7955" max="7955" width="13.28515625" style="21" bestFit="1" customWidth="1"/>
    <col min="7956" max="7956" width="9.85546875" style="21" customWidth="1"/>
    <col min="7957" max="7957" width="18.42578125" style="21" customWidth="1"/>
    <col min="7958" max="7958" width="13.140625" style="21" bestFit="1" customWidth="1"/>
    <col min="7959" max="7959" width="0" style="21" hidden="1" customWidth="1"/>
    <col min="7960" max="7960" width="9.140625" style="21"/>
    <col min="7961" max="7961" width="13.28515625" style="21" bestFit="1" customWidth="1"/>
    <col min="7962" max="7962" width="9.85546875" style="21" bestFit="1" customWidth="1"/>
    <col min="7963" max="7963" width="13.28515625" style="21" bestFit="1" customWidth="1"/>
    <col min="7964" max="8194" width="9.140625" style="21"/>
    <col min="8195" max="8195" width="9.28515625" style="21" bestFit="1" customWidth="1"/>
    <col min="8196" max="8196" width="5" style="21" customWidth="1"/>
    <col min="8197" max="8197" width="37.5703125" style="21" customWidth="1"/>
    <col min="8198" max="8198" width="8.5703125" style="21" customWidth="1"/>
    <col min="8199" max="8199" width="7.85546875" style="21" bestFit="1" customWidth="1"/>
    <col min="8200" max="8202" width="15.7109375" style="21" customWidth="1"/>
    <col min="8203" max="8207" width="0" style="21" hidden="1" customWidth="1"/>
    <col min="8208" max="8208" width="12.7109375" style="21" bestFit="1" customWidth="1"/>
    <col min="8209" max="8209" width="12.5703125" style="21" customWidth="1"/>
    <col min="8210" max="8210" width="5.85546875" style="21" customWidth="1"/>
    <col min="8211" max="8211" width="13.28515625" style="21" bestFit="1" customWidth="1"/>
    <col min="8212" max="8212" width="9.85546875" style="21" customWidth="1"/>
    <col min="8213" max="8213" width="18.42578125" style="21" customWidth="1"/>
    <col min="8214" max="8214" width="13.140625" style="21" bestFit="1" customWidth="1"/>
    <col min="8215" max="8215" width="0" style="21" hidden="1" customWidth="1"/>
    <col min="8216" max="8216" width="9.140625" style="21"/>
    <col min="8217" max="8217" width="13.28515625" style="21" bestFit="1" customWidth="1"/>
    <col min="8218" max="8218" width="9.85546875" style="21" bestFit="1" customWidth="1"/>
    <col min="8219" max="8219" width="13.28515625" style="21" bestFit="1" customWidth="1"/>
    <col min="8220" max="8450" width="9.140625" style="21"/>
    <col min="8451" max="8451" width="9.28515625" style="21" bestFit="1" customWidth="1"/>
    <col min="8452" max="8452" width="5" style="21" customWidth="1"/>
    <col min="8453" max="8453" width="37.5703125" style="21" customWidth="1"/>
    <col min="8454" max="8454" width="8.5703125" style="21" customWidth="1"/>
    <col min="8455" max="8455" width="7.85546875" style="21" bestFit="1" customWidth="1"/>
    <col min="8456" max="8458" width="15.7109375" style="21" customWidth="1"/>
    <col min="8459" max="8463" width="0" style="21" hidden="1" customWidth="1"/>
    <col min="8464" max="8464" width="12.7109375" style="21" bestFit="1" customWidth="1"/>
    <col min="8465" max="8465" width="12.5703125" style="21" customWidth="1"/>
    <col min="8466" max="8466" width="5.85546875" style="21" customWidth="1"/>
    <col min="8467" max="8467" width="13.28515625" style="21" bestFit="1" customWidth="1"/>
    <col min="8468" max="8468" width="9.85546875" style="21" customWidth="1"/>
    <col min="8469" max="8469" width="18.42578125" style="21" customWidth="1"/>
    <col min="8470" max="8470" width="13.140625" style="21" bestFit="1" customWidth="1"/>
    <col min="8471" max="8471" width="0" style="21" hidden="1" customWidth="1"/>
    <col min="8472" max="8472" width="9.140625" style="21"/>
    <col min="8473" max="8473" width="13.28515625" style="21" bestFit="1" customWidth="1"/>
    <col min="8474" max="8474" width="9.85546875" style="21" bestFit="1" customWidth="1"/>
    <col min="8475" max="8475" width="13.28515625" style="21" bestFit="1" customWidth="1"/>
    <col min="8476" max="8706" width="9.140625" style="21"/>
    <col min="8707" max="8707" width="9.28515625" style="21" bestFit="1" customWidth="1"/>
    <col min="8708" max="8708" width="5" style="21" customWidth="1"/>
    <col min="8709" max="8709" width="37.5703125" style="21" customWidth="1"/>
    <col min="8710" max="8710" width="8.5703125" style="21" customWidth="1"/>
    <col min="8711" max="8711" width="7.85546875" style="21" bestFit="1" customWidth="1"/>
    <col min="8712" max="8714" width="15.7109375" style="21" customWidth="1"/>
    <col min="8715" max="8719" width="0" style="21" hidden="1" customWidth="1"/>
    <col min="8720" max="8720" width="12.7109375" style="21" bestFit="1" customWidth="1"/>
    <col min="8721" max="8721" width="12.5703125" style="21" customWidth="1"/>
    <col min="8722" max="8722" width="5.85546875" style="21" customWidth="1"/>
    <col min="8723" max="8723" width="13.28515625" style="21" bestFit="1" customWidth="1"/>
    <col min="8724" max="8724" width="9.85546875" style="21" customWidth="1"/>
    <col min="8725" max="8725" width="18.42578125" style="21" customWidth="1"/>
    <col min="8726" max="8726" width="13.140625" style="21" bestFit="1" customWidth="1"/>
    <col min="8727" max="8727" width="0" style="21" hidden="1" customWidth="1"/>
    <col min="8728" max="8728" width="9.140625" style="21"/>
    <col min="8729" max="8729" width="13.28515625" style="21" bestFit="1" customWidth="1"/>
    <col min="8730" max="8730" width="9.85546875" style="21" bestFit="1" customWidth="1"/>
    <col min="8731" max="8731" width="13.28515625" style="21" bestFit="1" customWidth="1"/>
    <col min="8732" max="8962" width="9.140625" style="21"/>
    <col min="8963" max="8963" width="9.28515625" style="21" bestFit="1" customWidth="1"/>
    <col min="8964" max="8964" width="5" style="21" customWidth="1"/>
    <col min="8965" max="8965" width="37.5703125" style="21" customWidth="1"/>
    <col min="8966" max="8966" width="8.5703125" style="21" customWidth="1"/>
    <col min="8967" max="8967" width="7.85546875" style="21" bestFit="1" customWidth="1"/>
    <col min="8968" max="8970" width="15.7109375" style="21" customWidth="1"/>
    <col min="8971" max="8975" width="0" style="21" hidden="1" customWidth="1"/>
    <col min="8976" max="8976" width="12.7109375" style="21" bestFit="1" customWidth="1"/>
    <col min="8977" max="8977" width="12.5703125" style="21" customWidth="1"/>
    <col min="8978" max="8978" width="5.85546875" style="21" customWidth="1"/>
    <col min="8979" max="8979" width="13.28515625" style="21" bestFit="1" customWidth="1"/>
    <col min="8980" max="8980" width="9.85546875" style="21" customWidth="1"/>
    <col min="8981" max="8981" width="18.42578125" style="21" customWidth="1"/>
    <col min="8982" max="8982" width="13.140625" style="21" bestFit="1" customWidth="1"/>
    <col min="8983" max="8983" width="0" style="21" hidden="1" customWidth="1"/>
    <col min="8984" max="8984" width="9.140625" style="21"/>
    <col min="8985" max="8985" width="13.28515625" style="21" bestFit="1" customWidth="1"/>
    <col min="8986" max="8986" width="9.85546875" style="21" bestFit="1" customWidth="1"/>
    <col min="8987" max="8987" width="13.28515625" style="21" bestFit="1" customWidth="1"/>
    <col min="8988" max="9218" width="9.140625" style="21"/>
    <col min="9219" max="9219" width="9.28515625" style="21" bestFit="1" customWidth="1"/>
    <col min="9220" max="9220" width="5" style="21" customWidth="1"/>
    <col min="9221" max="9221" width="37.5703125" style="21" customWidth="1"/>
    <col min="9222" max="9222" width="8.5703125" style="21" customWidth="1"/>
    <col min="9223" max="9223" width="7.85546875" style="21" bestFit="1" customWidth="1"/>
    <col min="9224" max="9226" width="15.7109375" style="21" customWidth="1"/>
    <col min="9227" max="9231" width="0" style="21" hidden="1" customWidth="1"/>
    <col min="9232" max="9232" width="12.7109375" style="21" bestFit="1" customWidth="1"/>
    <col min="9233" max="9233" width="12.5703125" style="21" customWidth="1"/>
    <col min="9234" max="9234" width="5.85546875" style="21" customWidth="1"/>
    <col min="9235" max="9235" width="13.28515625" style="21" bestFit="1" customWidth="1"/>
    <col min="9236" max="9236" width="9.85546875" style="21" customWidth="1"/>
    <col min="9237" max="9237" width="18.42578125" style="21" customWidth="1"/>
    <col min="9238" max="9238" width="13.140625" style="21" bestFit="1" customWidth="1"/>
    <col min="9239" max="9239" width="0" style="21" hidden="1" customWidth="1"/>
    <col min="9240" max="9240" width="9.140625" style="21"/>
    <col min="9241" max="9241" width="13.28515625" style="21" bestFit="1" customWidth="1"/>
    <col min="9242" max="9242" width="9.85546875" style="21" bestFit="1" customWidth="1"/>
    <col min="9243" max="9243" width="13.28515625" style="21" bestFit="1" customWidth="1"/>
    <col min="9244" max="9474" width="9.140625" style="21"/>
    <col min="9475" max="9475" width="9.28515625" style="21" bestFit="1" customWidth="1"/>
    <col min="9476" max="9476" width="5" style="21" customWidth="1"/>
    <col min="9477" max="9477" width="37.5703125" style="21" customWidth="1"/>
    <col min="9478" max="9478" width="8.5703125" style="21" customWidth="1"/>
    <col min="9479" max="9479" width="7.85546875" style="21" bestFit="1" customWidth="1"/>
    <col min="9480" max="9482" width="15.7109375" style="21" customWidth="1"/>
    <col min="9483" max="9487" width="0" style="21" hidden="1" customWidth="1"/>
    <col min="9488" max="9488" width="12.7109375" style="21" bestFit="1" customWidth="1"/>
    <col min="9489" max="9489" width="12.5703125" style="21" customWidth="1"/>
    <col min="9490" max="9490" width="5.85546875" style="21" customWidth="1"/>
    <col min="9491" max="9491" width="13.28515625" style="21" bestFit="1" customWidth="1"/>
    <col min="9492" max="9492" width="9.85546875" style="21" customWidth="1"/>
    <col min="9493" max="9493" width="18.42578125" style="21" customWidth="1"/>
    <col min="9494" max="9494" width="13.140625" style="21" bestFit="1" customWidth="1"/>
    <col min="9495" max="9495" width="0" style="21" hidden="1" customWidth="1"/>
    <col min="9496" max="9496" width="9.140625" style="21"/>
    <col min="9497" max="9497" width="13.28515625" style="21" bestFit="1" customWidth="1"/>
    <col min="9498" max="9498" width="9.85546875" style="21" bestFit="1" customWidth="1"/>
    <col min="9499" max="9499" width="13.28515625" style="21" bestFit="1" customWidth="1"/>
    <col min="9500" max="9730" width="9.140625" style="21"/>
    <col min="9731" max="9731" width="9.28515625" style="21" bestFit="1" customWidth="1"/>
    <col min="9732" max="9732" width="5" style="21" customWidth="1"/>
    <col min="9733" max="9733" width="37.5703125" style="21" customWidth="1"/>
    <col min="9734" max="9734" width="8.5703125" style="21" customWidth="1"/>
    <col min="9735" max="9735" width="7.85546875" style="21" bestFit="1" customWidth="1"/>
    <col min="9736" max="9738" width="15.7109375" style="21" customWidth="1"/>
    <col min="9739" max="9743" width="0" style="21" hidden="1" customWidth="1"/>
    <col min="9744" max="9744" width="12.7109375" style="21" bestFit="1" customWidth="1"/>
    <col min="9745" max="9745" width="12.5703125" style="21" customWidth="1"/>
    <col min="9746" max="9746" width="5.85546875" style="21" customWidth="1"/>
    <col min="9747" max="9747" width="13.28515625" style="21" bestFit="1" customWidth="1"/>
    <col min="9748" max="9748" width="9.85546875" style="21" customWidth="1"/>
    <col min="9749" max="9749" width="18.42578125" style="21" customWidth="1"/>
    <col min="9750" max="9750" width="13.140625" style="21" bestFit="1" customWidth="1"/>
    <col min="9751" max="9751" width="0" style="21" hidden="1" customWidth="1"/>
    <col min="9752" max="9752" width="9.140625" style="21"/>
    <col min="9753" max="9753" width="13.28515625" style="21" bestFit="1" customWidth="1"/>
    <col min="9754" max="9754" width="9.85546875" style="21" bestFit="1" customWidth="1"/>
    <col min="9755" max="9755" width="13.28515625" style="21" bestFit="1" customWidth="1"/>
    <col min="9756" max="9986" width="9.140625" style="21"/>
    <col min="9987" max="9987" width="9.28515625" style="21" bestFit="1" customWidth="1"/>
    <col min="9988" max="9988" width="5" style="21" customWidth="1"/>
    <col min="9989" max="9989" width="37.5703125" style="21" customWidth="1"/>
    <col min="9990" max="9990" width="8.5703125" style="21" customWidth="1"/>
    <col min="9991" max="9991" width="7.85546875" style="21" bestFit="1" customWidth="1"/>
    <col min="9992" max="9994" width="15.7109375" style="21" customWidth="1"/>
    <col min="9995" max="9999" width="0" style="21" hidden="1" customWidth="1"/>
    <col min="10000" max="10000" width="12.7109375" style="21" bestFit="1" customWidth="1"/>
    <col min="10001" max="10001" width="12.5703125" style="21" customWidth="1"/>
    <col min="10002" max="10002" width="5.85546875" style="21" customWidth="1"/>
    <col min="10003" max="10003" width="13.28515625" style="21" bestFit="1" customWidth="1"/>
    <col min="10004" max="10004" width="9.85546875" style="21" customWidth="1"/>
    <col min="10005" max="10005" width="18.42578125" style="21" customWidth="1"/>
    <col min="10006" max="10006" width="13.140625" style="21" bestFit="1" customWidth="1"/>
    <col min="10007" max="10007" width="0" style="21" hidden="1" customWidth="1"/>
    <col min="10008" max="10008" width="9.140625" style="21"/>
    <col min="10009" max="10009" width="13.28515625" style="21" bestFit="1" customWidth="1"/>
    <col min="10010" max="10010" width="9.85546875" style="21" bestFit="1" customWidth="1"/>
    <col min="10011" max="10011" width="13.28515625" style="21" bestFit="1" customWidth="1"/>
    <col min="10012" max="10242" width="9.140625" style="21"/>
    <col min="10243" max="10243" width="9.28515625" style="21" bestFit="1" customWidth="1"/>
    <col min="10244" max="10244" width="5" style="21" customWidth="1"/>
    <col min="10245" max="10245" width="37.5703125" style="21" customWidth="1"/>
    <col min="10246" max="10246" width="8.5703125" style="21" customWidth="1"/>
    <col min="10247" max="10247" width="7.85546875" style="21" bestFit="1" customWidth="1"/>
    <col min="10248" max="10250" width="15.7109375" style="21" customWidth="1"/>
    <col min="10251" max="10255" width="0" style="21" hidden="1" customWidth="1"/>
    <col min="10256" max="10256" width="12.7109375" style="21" bestFit="1" customWidth="1"/>
    <col min="10257" max="10257" width="12.5703125" style="21" customWidth="1"/>
    <col min="10258" max="10258" width="5.85546875" style="21" customWidth="1"/>
    <col min="10259" max="10259" width="13.28515625" style="21" bestFit="1" customWidth="1"/>
    <col min="10260" max="10260" width="9.85546875" style="21" customWidth="1"/>
    <col min="10261" max="10261" width="18.42578125" style="21" customWidth="1"/>
    <col min="10262" max="10262" width="13.140625" style="21" bestFit="1" customWidth="1"/>
    <col min="10263" max="10263" width="0" style="21" hidden="1" customWidth="1"/>
    <col min="10264" max="10264" width="9.140625" style="21"/>
    <col min="10265" max="10265" width="13.28515625" style="21" bestFit="1" customWidth="1"/>
    <col min="10266" max="10266" width="9.85546875" style="21" bestFit="1" customWidth="1"/>
    <col min="10267" max="10267" width="13.28515625" style="21" bestFit="1" customWidth="1"/>
    <col min="10268" max="10498" width="9.140625" style="21"/>
    <col min="10499" max="10499" width="9.28515625" style="21" bestFit="1" customWidth="1"/>
    <col min="10500" max="10500" width="5" style="21" customWidth="1"/>
    <col min="10501" max="10501" width="37.5703125" style="21" customWidth="1"/>
    <col min="10502" max="10502" width="8.5703125" style="21" customWidth="1"/>
    <col min="10503" max="10503" width="7.85546875" style="21" bestFit="1" customWidth="1"/>
    <col min="10504" max="10506" width="15.7109375" style="21" customWidth="1"/>
    <col min="10507" max="10511" width="0" style="21" hidden="1" customWidth="1"/>
    <col min="10512" max="10512" width="12.7109375" style="21" bestFit="1" customWidth="1"/>
    <col min="10513" max="10513" width="12.5703125" style="21" customWidth="1"/>
    <col min="10514" max="10514" width="5.85546875" style="21" customWidth="1"/>
    <col min="10515" max="10515" width="13.28515625" style="21" bestFit="1" customWidth="1"/>
    <col min="10516" max="10516" width="9.85546875" style="21" customWidth="1"/>
    <col min="10517" max="10517" width="18.42578125" style="21" customWidth="1"/>
    <col min="10518" max="10518" width="13.140625" style="21" bestFit="1" customWidth="1"/>
    <col min="10519" max="10519" width="0" style="21" hidden="1" customWidth="1"/>
    <col min="10520" max="10520" width="9.140625" style="21"/>
    <col min="10521" max="10521" width="13.28515625" style="21" bestFit="1" customWidth="1"/>
    <col min="10522" max="10522" width="9.85546875" style="21" bestFit="1" customWidth="1"/>
    <col min="10523" max="10523" width="13.28515625" style="21" bestFit="1" customWidth="1"/>
    <col min="10524" max="10754" width="9.140625" style="21"/>
    <col min="10755" max="10755" width="9.28515625" style="21" bestFit="1" customWidth="1"/>
    <col min="10756" max="10756" width="5" style="21" customWidth="1"/>
    <col min="10757" max="10757" width="37.5703125" style="21" customWidth="1"/>
    <col min="10758" max="10758" width="8.5703125" style="21" customWidth="1"/>
    <col min="10759" max="10759" width="7.85546875" style="21" bestFit="1" customWidth="1"/>
    <col min="10760" max="10762" width="15.7109375" style="21" customWidth="1"/>
    <col min="10763" max="10767" width="0" style="21" hidden="1" customWidth="1"/>
    <col min="10768" max="10768" width="12.7109375" style="21" bestFit="1" customWidth="1"/>
    <col min="10769" max="10769" width="12.5703125" style="21" customWidth="1"/>
    <col min="10770" max="10770" width="5.85546875" style="21" customWidth="1"/>
    <col min="10771" max="10771" width="13.28515625" style="21" bestFit="1" customWidth="1"/>
    <col min="10772" max="10772" width="9.85546875" style="21" customWidth="1"/>
    <col min="10773" max="10773" width="18.42578125" style="21" customWidth="1"/>
    <col min="10774" max="10774" width="13.140625" style="21" bestFit="1" customWidth="1"/>
    <col min="10775" max="10775" width="0" style="21" hidden="1" customWidth="1"/>
    <col min="10776" max="10776" width="9.140625" style="21"/>
    <col min="10777" max="10777" width="13.28515625" style="21" bestFit="1" customWidth="1"/>
    <col min="10778" max="10778" width="9.85546875" style="21" bestFit="1" customWidth="1"/>
    <col min="10779" max="10779" width="13.28515625" style="21" bestFit="1" customWidth="1"/>
    <col min="10780" max="11010" width="9.140625" style="21"/>
    <col min="11011" max="11011" width="9.28515625" style="21" bestFit="1" customWidth="1"/>
    <col min="11012" max="11012" width="5" style="21" customWidth="1"/>
    <col min="11013" max="11013" width="37.5703125" style="21" customWidth="1"/>
    <col min="11014" max="11014" width="8.5703125" style="21" customWidth="1"/>
    <col min="11015" max="11015" width="7.85546875" style="21" bestFit="1" customWidth="1"/>
    <col min="11016" max="11018" width="15.7109375" style="21" customWidth="1"/>
    <col min="11019" max="11023" width="0" style="21" hidden="1" customWidth="1"/>
    <col min="11024" max="11024" width="12.7109375" style="21" bestFit="1" customWidth="1"/>
    <col min="11025" max="11025" width="12.5703125" style="21" customWidth="1"/>
    <col min="11026" max="11026" width="5.85546875" style="21" customWidth="1"/>
    <col min="11027" max="11027" width="13.28515625" style="21" bestFit="1" customWidth="1"/>
    <col min="11028" max="11028" width="9.85546875" style="21" customWidth="1"/>
    <col min="11029" max="11029" width="18.42578125" style="21" customWidth="1"/>
    <col min="11030" max="11030" width="13.140625" style="21" bestFit="1" customWidth="1"/>
    <col min="11031" max="11031" width="0" style="21" hidden="1" customWidth="1"/>
    <col min="11032" max="11032" width="9.140625" style="21"/>
    <col min="11033" max="11033" width="13.28515625" style="21" bestFit="1" customWidth="1"/>
    <col min="11034" max="11034" width="9.85546875" style="21" bestFit="1" customWidth="1"/>
    <col min="11035" max="11035" width="13.28515625" style="21" bestFit="1" customWidth="1"/>
    <col min="11036" max="11266" width="9.140625" style="21"/>
    <col min="11267" max="11267" width="9.28515625" style="21" bestFit="1" customWidth="1"/>
    <col min="11268" max="11268" width="5" style="21" customWidth="1"/>
    <col min="11269" max="11269" width="37.5703125" style="21" customWidth="1"/>
    <col min="11270" max="11270" width="8.5703125" style="21" customWidth="1"/>
    <col min="11271" max="11271" width="7.85546875" style="21" bestFit="1" customWidth="1"/>
    <col min="11272" max="11274" width="15.7109375" style="21" customWidth="1"/>
    <col min="11275" max="11279" width="0" style="21" hidden="1" customWidth="1"/>
    <col min="11280" max="11280" width="12.7109375" style="21" bestFit="1" customWidth="1"/>
    <col min="11281" max="11281" width="12.5703125" style="21" customWidth="1"/>
    <col min="11282" max="11282" width="5.85546875" style="21" customWidth="1"/>
    <col min="11283" max="11283" width="13.28515625" style="21" bestFit="1" customWidth="1"/>
    <col min="11284" max="11284" width="9.85546875" style="21" customWidth="1"/>
    <col min="11285" max="11285" width="18.42578125" style="21" customWidth="1"/>
    <col min="11286" max="11286" width="13.140625" style="21" bestFit="1" customWidth="1"/>
    <col min="11287" max="11287" width="0" style="21" hidden="1" customWidth="1"/>
    <col min="11288" max="11288" width="9.140625" style="21"/>
    <col min="11289" max="11289" width="13.28515625" style="21" bestFit="1" customWidth="1"/>
    <col min="11290" max="11290" width="9.85546875" style="21" bestFit="1" customWidth="1"/>
    <col min="11291" max="11291" width="13.28515625" style="21" bestFit="1" customWidth="1"/>
    <col min="11292" max="11522" width="9.140625" style="21"/>
    <col min="11523" max="11523" width="9.28515625" style="21" bestFit="1" customWidth="1"/>
    <col min="11524" max="11524" width="5" style="21" customWidth="1"/>
    <col min="11525" max="11525" width="37.5703125" style="21" customWidth="1"/>
    <col min="11526" max="11526" width="8.5703125" style="21" customWidth="1"/>
    <col min="11527" max="11527" width="7.85546875" style="21" bestFit="1" customWidth="1"/>
    <col min="11528" max="11530" width="15.7109375" style="21" customWidth="1"/>
    <col min="11531" max="11535" width="0" style="21" hidden="1" customWidth="1"/>
    <col min="11536" max="11536" width="12.7109375" style="21" bestFit="1" customWidth="1"/>
    <col min="11537" max="11537" width="12.5703125" style="21" customWidth="1"/>
    <col min="11538" max="11538" width="5.85546875" style="21" customWidth="1"/>
    <col min="11539" max="11539" width="13.28515625" style="21" bestFit="1" customWidth="1"/>
    <col min="11540" max="11540" width="9.85546875" style="21" customWidth="1"/>
    <col min="11541" max="11541" width="18.42578125" style="21" customWidth="1"/>
    <col min="11542" max="11542" width="13.140625" style="21" bestFit="1" customWidth="1"/>
    <col min="11543" max="11543" width="0" style="21" hidden="1" customWidth="1"/>
    <col min="11544" max="11544" width="9.140625" style="21"/>
    <col min="11545" max="11545" width="13.28515625" style="21" bestFit="1" customWidth="1"/>
    <col min="11546" max="11546" width="9.85546875" style="21" bestFit="1" customWidth="1"/>
    <col min="11547" max="11547" width="13.28515625" style="21" bestFit="1" customWidth="1"/>
    <col min="11548" max="11778" width="9.140625" style="21"/>
    <col min="11779" max="11779" width="9.28515625" style="21" bestFit="1" customWidth="1"/>
    <col min="11780" max="11780" width="5" style="21" customWidth="1"/>
    <col min="11781" max="11781" width="37.5703125" style="21" customWidth="1"/>
    <col min="11782" max="11782" width="8.5703125" style="21" customWidth="1"/>
    <col min="11783" max="11783" width="7.85546875" style="21" bestFit="1" customWidth="1"/>
    <col min="11784" max="11786" width="15.7109375" style="21" customWidth="1"/>
    <col min="11787" max="11791" width="0" style="21" hidden="1" customWidth="1"/>
    <col min="11792" max="11792" width="12.7109375" style="21" bestFit="1" customWidth="1"/>
    <col min="11793" max="11793" width="12.5703125" style="21" customWidth="1"/>
    <col min="11794" max="11794" width="5.85546875" style="21" customWidth="1"/>
    <col min="11795" max="11795" width="13.28515625" style="21" bestFit="1" customWidth="1"/>
    <col min="11796" max="11796" width="9.85546875" style="21" customWidth="1"/>
    <col min="11797" max="11797" width="18.42578125" style="21" customWidth="1"/>
    <col min="11798" max="11798" width="13.140625" style="21" bestFit="1" customWidth="1"/>
    <col min="11799" max="11799" width="0" style="21" hidden="1" customWidth="1"/>
    <col min="11800" max="11800" width="9.140625" style="21"/>
    <col min="11801" max="11801" width="13.28515625" style="21" bestFit="1" customWidth="1"/>
    <col min="11802" max="11802" width="9.85546875" style="21" bestFit="1" customWidth="1"/>
    <col min="11803" max="11803" width="13.28515625" style="21" bestFit="1" customWidth="1"/>
    <col min="11804" max="12034" width="9.140625" style="21"/>
    <col min="12035" max="12035" width="9.28515625" style="21" bestFit="1" customWidth="1"/>
    <col min="12036" max="12036" width="5" style="21" customWidth="1"/>
    <col min="12037" max="12037" width="37.5703125" style="21" customWidth="1"/>
    <col min="12038" max="12038" width="8.5703125" style="21" customWidth="1"/>
    <col min="12039" max="12039" width="7.85546875" style="21" bestFit="1" customWidth="1"/>
    <col min="12040" max="12042" width="15.7109375" style="21" customWidth="1"/>
    <col min="12043" max="12047" width="0" style="21" hidden="1" customWidth="1"/>
    <col min="12048" max="12048" width="12.7109375" style="21" bestFit="1" customWidth="1"/>
    <col min="12049" max="12049" width="12.5703125" style="21" customWidth="1"/>
    <col min="12050" max="12050" width="5.85546875" style="21" customWidth="1"/>
    <col min="12051" max="12051" width="13.28515625" style="21" bestFit="1" customWidth="1"/>
    <col min="12052" max="12052" width="9.85546875" style="21" customWidth="1"/>
    <col min="12053" max="12053" width="18.42578125" style="21" customWidth="1"/>
    <col min="12054" max="12054" width="13.140625" style="21" bestFit="1" customWidth="1"/>
    <col min="12055" max="12055" width="0" style="21" hidden="1" customWidth="1"/>
    <col min="12056" max="12056" width="9.140625" style="21"/>
    <col min="12057" max="12057" width="13.28515625" style="21" bestFit="1" customWidth="1"/>
    <col min="12058" max="12058" width="9.85546875" style="21" bestFit="1" customWidth="1"/>
    <col min="12059" max="12059" width="13.28515625" style="21" bestFit="1" customWidth="1"/>
    <col min="12060" max="12290" width="9.140625" style="21"/>
    <col min="12291" max="12291" width="9.28515625" style="21" bestFit="1" customWidth="1"/>
    <col min="12292" max="12292" width="5" style="21" customWidth="1"/>
    <col min="12293" max="12293" width="37.5703125" style="21" customWidth="1"/>
    <col min="12294" max="12294" width="8.5703125" style="21" customWidth="1"/>
    <col min="12295" max="12295" width="7.85546875" style="21" bestFit="1" customWidth="1"/>
    <col min="12296" max="12298" width="15.7109375" style="21" customWidth="1"/>
    <col min="12299" max="12303" width="0" style="21" hidden="1" customWidth="1"/>
    <col min="12304" max="12304" width="12.7109375" style="21" bestFit="1" customWidth="1"/>
    <col min="12305" max="12305" width="12.5703125" style="21" customWidth="1"/>
    <col min="12306" max="12306" width="5.85546875" style="21" customWidth="1"/>
    <col min="12307" max="12307" width="13.28515625" style="21" bestFit="1" customWidth="1"/>
    <col min="12308" max="12308" width="9.85546875" style="21" customWidth="1"/>
    <col min="12309" max="12309" width="18.42578125" style="21" customWidth="1"/>
    <col min="12310" max="12310" width="13.140625" style="21" bestFit="1" customWidth="1"/>
    <col min="12311" max="12311" width="0" style="21" hidden="1" customWidth="1"/>
    <col min="12312" max="12312" width="9.140625" style="21"/>
    <col min="12313" max="12313" width="13.28515625" style="21" bestFit="1" customWidth="1"/>
    <col min="12314" max="12314" width="9.85546875" style="21" bestFit="1" customWidth="1"/>
    <col min="12315" max="12315" width="13.28515625" style="21" bestFit="1" customWidth="1"/>
    <col min="12316" max="12546" width="9.140625" style="21"/>
    <col min="12547" max="12547" width="9.28515625" style="21" bestFit="1" customWidth="1"/>
    <col min="12548" max="12548" width="5" style="21" customWidth="1"/>
    <col min="12549" max="12549" width="37.5703125" style="21" customWidth="1"/>
    <col min="12550" max="12550" width="8.5703125" style="21" customWidth="1"/>
    <col min="12551" max="12551" width="7.85546875" style="21" bestFit="1" customWidth="1"/>
    <col min="12552" max="12554" width="15.7109375" style="21" customWidth="1"/>
    <col min="12555" max="12559" width="0" style="21" hidden="1" customWidth="1"/>
    <col min="12560" max="12560" width="12.7109375" style="21" bestFit="1" customWidth="1"/>
    <col min="12561" max="12561" width="12.5703125" style="21" customWidth="1"/>
    <col min="12562" max="12562" width="5.85546875" style="21" customWidth="1"/>
    <col min="12563" max="12563" width="13.28515625" style="21" bestFit="1" customWidth="1"/>
    <col min="12564" max="12564" width="9.85546875" style="21" customWidth="1"/>
    <col min="12565" max="12565" width="18.42578125" style="21" customWidth="1"/>
    <col min="12566" max="12566" width="13.140625" style="21" bestFit="1" customWidth="1"/>
    <col min="12567" max="12567" width="0" style="21" hidden="1" customWidth="1"/>
    <col min="12568" max="12568" width="9.140625" style="21"/>
    <col min="12569" max="12569" width="13.28515625" style="21" bestFit="1" customWidth="1"/>
    <col min="12570" max="12570" width="9.85546875" style="21" bestFit="1" customWidth="1"/>
    <col min="12571" max="12571" width="13.28515625" style="21" bestFit="1" customWidth="1"/>
    <col min="12572" max="12802" width="9.140625" style="21"/>
    <col min="12803" max="12803" width="9.28515625" style="21" bestFit="1" customWidth="1"/>
    <col min="12804" max="12804" width="5" style="21" customWidth="1"/>
    <col min="12805" max="12805" width="37.5703125" style="21" customWidth="1"/>
    <col min="12806" max="12806" width="8.5703125" style="21" customWidth="1"/>
    <col min="12807" max="12807" width="7.85546875" style="21" bestFit="1" customWidth="1"/>
    <col min="12808" max="12810" width="15.7109375" style="21" customWidth="1"/>
    <col min="12811" max="12815" width="0" style="21" hidden="1" customWidth="1"/>
    <col min="12816" max="12816" width="12.7109375" style="21" bestFit="1" customWidth="1"/>
    <col min="12817" max="12817" width="12.5703125" style="21" customWidth="1"/>
    <col min="12818" max="12818" width="5.85546875" style="21" customWidth="1"/>
    <col min="12819" max="12819" width="13.28515625" style="21" bestFit="1" customWidth="1"/>
    <col min="12820" max="12820" width="9.85546875" style="21" customWidth="1"/>
    <col min="12821" max="12821" width="18.42578125" style="21" customWidth="1"/>
    <col min="12822" max="12822" width="13.140625" style="21" bestFit="1" customWidth="1"/>
    <col min="12823" max="12823" width="0" style="21" hidden="1" customWidth="1"/>
    <col min="12824" max="12824" width="9.140625" style="21"/>
    <col min="12825" max="12825" width="13.28515625" style="21" bestFit="1" customWidth="1"/>
    <col min="12826" max="12826" width="9.85546875" style="21" bestFit="1" customWidth="1"/>
    <col min="12827" max="12827" width="13.28515625" style="21" bestFit="1" customWidth="1"/>
    <col min="12828" max="13058" width="9.140625" style="21"/>
    <col min="13059" max="13059" width="9.28515625" style="21" bestFit="1" customWidth="1"/>
    <col min="13060" max="13060" width="5" style="21" customWidth="1"/>
    <col min="13061" max="13061" width="37.5703125" style="21" customWidth="1"/>
    <col min="13062" max="13062" width="8.5703125" style="21" customWidth="1"/>
    <col min="13063" max="13063" width="7.85546875" style="21" bestFit="1" customWidth="1"/>
    <col min="13064" max="13066" width="15.7109375" style="21" customWidth="1"/>
    <col min="13067" max="13071" width="0" style="21" hidden="1" customWidth="1"/>
    <col min="13072" max="13072" width="12.7109375" style="21" bestFit="1" customWidth="1"/>
    <col min="13073" max="13073" width="12.5703125" style="21" customWidth="1"/>
    <col min="13074" max="13074" width="5.85546875" style="21" customWidth="1"/>
    <col min="13075" max="13075" width="13.28515625" style="21" bestFit="1" customWidth="1"/>
    <col min="13076" max="13076" width="9.85546875" style="21" customWidth="1"/>
    <col min="13077" max="13077" width="18.42578125" style="21" customWidth="1"/>
    <col min="13078" max="13078" width="13.140625" style="21" bestFit="1" customWidth="1"/>
    <col min="13079" max="13079" width="0" style="21" hidden="1" customWidth="1"/>
    <col min="13080" max="13080" width="9.140625" style="21"/>
    <col min="13081" max="13081" width="13.28515625" style="21" bestFit="1" customWidth="1"/>
    <col min="13082" max="13082" width="9.85546875" style="21" bestFit="1" customWidth="1"/>
    <col min="13083" max="13083" width="13.28515625" style="21" bestFit="1" customWidth="1"/>
    <col min="13084" max="13314" width="9.140625" style="21"/>
    <col min="13315" max="13315" width="9.28515625" style="21" bestFit="1" customWidth="1"/>
    <col min="13316" max="13316" width="5" style="21" customWidth="1"/>
    <col min="13317" max="13317" width="37.5703125" style="21" customWidth="1"/>
    <col min="13318" max="13318" width="8.5703125" style="21" customWidth="1"/>
    <col min="13319" max="13319" width="7.85546875" style="21" bestFit="1" customWidth="1"/>
    <col min="13320" max="13322" width="15.7109375" style="21" customWidth="1"/>
    <col min="13323" max="13327" width="0" style="21" hidden="1" customWidth="1"/>
    <col min="13328" max="13328" width="12.7109375" style="21" bestFit="1" customWidth="1"/>
    <col min="13329" max="13329" width="12.5703125" style="21" customWidth="1"/>
    <col min="13330" max="13330" width="5.85546875" style="21" customWidth="1"/>
    <col min="13331" max="13331" width="13.28515625" style="21" bestFit="1" customWidth="1"/>
    <col min="13332" max="13332" width="9.85546875" style="21" customWidth="1"/>
    <col min="13333" max="13333" width="18.42578125" style="21" customWidth="1"/>
    <col min="13334" max="13334" width="13.140625" style="21" bestFit="1" customWidth="1"/>
    <col min="13335" max="13335" width="0" style="21" hidden="1" customWidth="1"/>
    <col min="13336" max="13336" width="9.140625" style="21"/>
    <col min="13337" max="13337" width="13.28515625" style="21" bestFit="1" customWidth="1"/>
    <col min="13338" max="13338" width="9.85546875" style="21" bestFit="1" customWidth="1"/>
    <col min="13339" max="13339" width="13.28515625" style="21" bestFit="1" customWidth="1"/>
    <col min="13340" max="13570" width="9.140625" style="21"/>
    <col min="13571" max="13571" width="9.28515625" style="21" bestFit="1" customWidth="1"/>
    <col min="13572" max="13572" width="5" style="21" customWidth="1"/>
    <col min="13573" max="13573" width="37.5703125" style="21" customWidth="1"/>
    <col min="13574" max="13574" width="8.5703125" style="21" customWidth="1"/>
    <col min="13575" max="13575" width="7.85546875" style="21" bestFit="1" customWidth="1"/>
    <col min="13576" max="13578" width="15.7109375" style="21" customWidth="1"/>
    <col min="13579" max="13583" width="0" style="21" hidden="1" customWidth="1"/>
    <col min="13584" max="13584" width="12.7109375" style="21" bestFit="1" customWidth="1"/>
    <col min="13585" max="13585" width="12.5703125" style="21" customWidth="1"/>
    <col min="13586" max="13586" width="5.85546875" style="21" customWidth="1"/>
    <col min="13587" max="13587" width="13.28515625" style="21" bestFit="1" customWidth="1"/>
    <col min="13588" max="13588" width="9.85546875" style="21" customWidth="1"/>
    <col min="13589" max="13589" width="18.42578125" style="21" customWidth="1"/>
    <col min="13590" max="13590" width="13.140625" style="21" bestFit="1" customWidth="1"/>
    <col min="13591" max="13591" width="0" style="21" hidden="1" customWidth="1"/>
    <col min="13592" max="13592" width="9.140625" style="21"/>
    <col min="13593" max="13593" width="13.28515625" style="21" bestFit="1" customWidth="1"/>
    <col min="13594" max="13594" width="9.85546875" style="21" bestFit="1" customWidth="1"/>
    <col min="13595" max="13595" width="13.28515625" style="21" bestFit="1" customWidth="1"/>
    <col min="13596" max="13826" width="9.140625" style="21"/>
    <col min="13827" max="13827" width="9.28515625" style="21" bestFit="1" customWidth="1"/>
    <col min="13828" max="13828" width="5" style="21" customWidth="1"/>
    <col min="13829" max="13829" width="37.5703125" style="21" customWidth="1"/>
    <col min="13830" max="13830" width="8.5703125" style="21" customWidth="1"/>
    <col min="13831" max="13831" width="7.85546875" style="21" bestFit="1" customWidth="1"/>
    <col min="13832" max="13834" width="15.7109375" style="21" customWidth="1"/>
    <col min="13835" max="13839" width="0" style="21" hidden="1" customWidth="1"/>
    <col min="13840" max="13840" width="12.7109375" style="21" bestFit="1" customWidth="1"/>
    <col min="13841" max="13841" width="12.5703125" style="21" customWidth="1"/>
    <col min="13842" max="13842" width="5.85546875" style="21" customWidth="1"/>
    <col min="13843" max="13843" width="13.28515625" style="21" bestFit="1" customWidth="1"/>
    <col min="13844" max="13844" width="9.85546875" style="21" customWidth="1"/>
    <col min="13845" max="13845" width="18.42578125" style="21" customWidth="1"/>
    <col min="13846" max="13846" width="13.140625" style="21" bestFit="1" customWidth="1"/>
    <col min="13847" max="13847" width="0" style="21" hidden="1" customWidth="1"/>
    <col min="13848" max="13848" width="9.140625" style="21"/>
    <col min="13849" max="13849" width="13.28515625" style="21" bestFit="1" customWidth="1"/>
    <col min="13850" max="13850" width="9.85546875" style="21" bestFit="1" customWidth="1"/>
    <col min="13851" max="13851" width="13.28515625" style="21" bestFit="1" customWidth="1"/>
    <col min="13852" max="14082" width="9.140625" style="21"/>
    <col min="14083" max="14083" width="9.28515625" style="21" bestFit="1" customWidth="1"/>
    <col min="14084" max="14084" width="5" style="21" customWidth="1"/>
    <col min="14085" max="14085" width="37.5703125" style="21" customWidth="1"/>
    <col min="14086" max="14086" width="8.5703125" style="21" customWidth="1"/>
    <col min="14087" max="14087" width="7.85546875" style="21" bestFit="1" customWidth="1"/>
    <col min="14088" max="14090" width="15.7109375" style="21" customWidth="1"/>
    <col min="14091" max="14095" width="0" style="21" hidden="1" customWidth="1"/>
    <col min="14096" max="14096" width="12.7109375" style="21" bestFit="1" customWidth="1"/>
    <col min="14097" max="14097" width="12.5703125" style="21" customWidth="1"/>
    <col min="14098" max="14098" width="5.85546875" style="21" customWidth="1"/>
    <col min="14099" max="14099" width="13.28515625" style="21" bestFit="1" customWidth="1"/>
    <col min="14100" max="14100" width="9.85546875" style="21" customWidth="1"/>
    <col min="14101" max="14101" width="18.42578125" style="21" customWidth="1"/>
    <col min="14102" max="14102" width="13.140625" style="21" bestFit="1" customWidth="1"/>
    <col min="14103" max="14103" width="0" style="21" hidden="1" customWidth="1"/>
    <col min="14104" max="14104" width="9.140625" style="21"/>
    <col min="14105" max="14105" width="13.28515625" style="21" bestFit="1" customWidth="1"/>
    <col min="14106" max="14106" width="9.85546875" style="21" bestFit="1" customWidth="1"/>
    <col min="14107" max="14107" width="13.28515625" style="21" bestFit="1" customWidth="1"/>
    <col min="14108" max="14338" width="9.140625" style="21"/>
    <col min="14339" max="14339" width="9.28515625" style="21" bestFit="1" customWidth="1"/>
    <col min="14340" max="14340" width="5" style="21" customWidth="1"/>
    <col min="14341" max="14341" width="37.5703125" style="21" customWidth="1"/>
    <col min="14342" max="14342" width="8.5703125" style="21" customWidth="1"/>
    <col min="14343" max="14343" width="7.85546875" style="21" bestFit="1" customWidth="1"/>
    <col min="14344" max="14346" width="15.7109375" style="21" customWidth="1"/>
    <col min="14347" max="14351" width="0" style="21" hidden="1" customWidth="1"/>
    <col min="14352" max="14352" width="12.7109375" style="21" bestFit="1" customWidth="1"/>
    <col min="14353" max="14353" width="12.5703125" style="21" customWidth="1"/>
    <col min="14354" max="14354" width="5.85546875" style="21" customWidth="1"/>
    <col min="14355" max="14355" width="13.28515625" style="21" bestFit="1" customWidth="1"/>
    <col min="14356" max="14356" width="9.85546875" style="21" customWidth="1"/>
    <col min="14357" max="14357" width="18.42578125" style="21" customWidth="1"/>
    <col min="14358" max="14358" width="13.140625" style="21" bestFit="1" customWidth="1"/>
    <col min="14359" max="14359" width="0" style="21" hidden="1" customWidth="1"/>
    <col min="14360" max="14360" width="9.140625" style="21"/>
    <col min="14361" max="14361" width="13.28515625" style="21" bestFit="1" customWidth="1"/>
    <col min="14362" max="14362" width="9.85546875" style="21" bestFit="1" customWidth="1"/>
    <col min="14363" max="14363" width="13.28515625" style="21" bestFit="1" customWidth="1"/>
    <col min="14364" max="14594" width="9.140625" style="21"/>
    <col min="14595" max="14595" width="9.28515625" style="21" bestFit="1" customWidth="1"/>
    <col min="14596" max="14596" width="5" style="21" customWidth="1"/>
    <col min="14597" max="14597" width="37.5703125" style="21" customWidth="1"/>
    <col min="14598" max="14598" width="8.5703125" style="21" customWidth="1"/>
    <col min="14599" max="14599" width="7.85546875" style="21" bestFit="1" customWidth="1"/>
    <col min="14600" max="14602" width="15.7109375" style="21" customWidth="1"/>
    <col min="14603" max="14607" width="0" style="21" hidden="1" customWidth="1"/>
    <col min="14608" max="14608" width="12.7109375" style="21" bestFit="1" customWidth="1"/>
    <col min="14609" max="14609" width="12.5703125" style="21" customWidth="1"/>
    <col min="14610" max="14610" width="5.85546875" style="21" customWidth="1"/>
    <col min="14611" max="14611" width="13.28515625" style="21" bestFit="1" customWidth="1"/>
    <col min="14612" max="14612" width="9.85546875" style="21" customWidth="1"/>
    <col min="14613" max="14613" width="18.42578125" style="21" customWidth="1"/>
    <col min="14614" max="14614" width="13.140625" style="21" bestFit="1" customWidth="1"/>
    <col min="14615" max="14615" width="0" style="21" hidden="1" customWidth="1"/>
    <col min="14616" max="14616" width="9.140625" style="21"/>
    <col min="14617" max="14617" width="13.28515625" style="21" bestFit="1" customWidth="1"/>
    <col min="14618" max="14618" width="9.85546875" style="21" bestFit="1" customWidth="1"/>
    <col min="14619" max="14619" width="13.28515625" style="21" bestFit="1" customWidth="1"/>
    <col min="14620" max="14850" width="9.140625" style="21"/>
    <col min="14851" max="14851" width="9.28515625" style="21" bestFit="1" customWidth="1"/>
    <col min="14852" max="14852" width="5" style="21" customWidth="1"/>
    <col min="14853" max="14853" width="37.5703125" style="21" customWidth="1"/>
    <col min="14854" max="14854" width="8.5703125" style="21" customWidth="1"/>
    <col min="14855" max="14855" width="7.85546875" style="21" bestFit="1" customWidth="1"/>
    <col min="14856" max="14858" width="15.7109375" style="21" customWidth="1"/>
    <col min="14859" max="14863" width="0" style="21" hidden="1" customWidth="1"/>
    <col min="14864" max="14864" width="12.7109375" style="21" bestFit="1" customWidth="1"/>
    <col min="14865" max="14865" width="12.5703125" style="21" customWidth="1"/>
    <col min="14866" max="14866" width="5.85546875" style="21" customWidth="1"/>
    <col min="14867" max="14867" width="13.28515625" style="21" bestFit="1" customWidth="1"/>
    <col min="14868" max="14868" width="9.85546875" style="21" customWidth="1"/>
    <col min="14869" max="14869" width="18.42578125" style="21" customWidth="1"/>
    <col min="14870" max="14870" width="13.140625" style="21" bestFit="1" customWidth="1"/>
    <col min="14871" max="14871" width="0" style="21" hidden="1" customWidth="1"/>
    <col min="14872" max="14872" width="9.140625" style="21"/>
    <col min="14873" max="14873" width="13.28515625" style="21" bestFit="1" customWidth="1"/>
    <col min="14874" max="14874" width="9.85546875" style="21" bestFit="1" customWidth="1"/>
    <col min="14875" max="14875" width="13.28515625" style="21" bestFit="1" customWidth="1"/>
    <col min="14876" max="15106" width="9.140625" style="21"/>
    <col min="15107" max="15107" width="9.28515625" style="21" bestFit="1" customWidth="1"/>
    <col min="15108" max="15108" width="5" style="21" customWidth="1"/>
    <col min="15109" max="15109" width="37.5703125" style="21" customWidth="1"/>
    <col min="15110" max="15110" width="8.5703125" style="21" customWidth="1"/>
    <col min="15111" max="15111" width="7.85546875" style="21" bestFit="1" customWidth="1"/>
    <col min="15112" max="15114" width="15.7109375" style="21" customWidth="1"/>
    <col min="15115" max="15119" width="0" style="21" hidden="1" customWidth="1"/>
    <col min="15120" max="15120" width="12.7109375" style="21" bestFit="1" customWidth="1"/>
    <col min="15121" max="15121" width="12.5703125" style="21" customWidth="1"/>
    <col min="15122" max="15122" width="5.85546875" style="21" customWidth="1"/>
    <col min="15123" max="15123" width="13.28515625" style="21" bestFit="1" customWidth="1"/>
    <col min="15124" max="15124" width="9.85546875" style="21" customWidth="1"/>
    <col min="15125" max="15125" width="18.42578125" style="21" customWidth="1"/>
    <col min="15126" max="15126" width="13.140625" style="21" bestFit="1" customWidth="1"/>
    <col min="15127" max="15127" width="0" style="21" hidden="1" customWidth="1"/>
    <col min="15128" max="15128" width="9.140625" style="21"/>
    <col min="15129" max="15129" width="13.28515625" style="21" bestFit="1" customWidth="1"/>
    <col min="15130" max="15130" width="9.85546875" style="21" bestFit="1" customWidth="1"/>
    <col min="15131" max="15131" width="13.28515625" style="21" bestFit="1" customWidth="1"/>
    <col min="15132" max="15362" width="9.140625" style="21"/>
    <col min="15363" max="15363" width="9.28515625" style="21" bestFit="1" customWidth="1"/>
    <col min="15364" max="15364" width="5" style="21" customWidth="1"/>
    <col min="15365" max="15365" width="37.5703125" style="21" customWidth="1"/>
    <col min="15366" max="15366" width="8.5703125" style="21" customWidth="1"/>
    <col min="15367" max="15367" width="7.85546875" style="21" bestFit="1" customWidth="1"/>
    <col min="15368" max="15370" width="15.7109375" style="21" customWidth="1"/>
    <col min="15371" max="15375" width="0" style="21" hidden="1" customWidth="1"/>
    <col min="15376" max="15376" width="12.7109375" style="21" bestFit="1" customWidth="1"/>
    <col min="15377" max="15377" width="12.5703125" style="21" customWidth="1"/>
    <col min="15378" max="15378" width="5.85546875" style="21" customWidth="1"/>
    <col min="15379" max="15379" width="13.28515625" style="21" bestFit="1" customWidth="1"/>
    <col min="15380" max="15380" width="9.85546875" style="21" customWidth="1"/>
    <col min="15381" max="15381" width="18.42578125" style="21" customWidth="1"/>
    <col min="15382" max="15382" width="13.140625" style="21" bestFit="1" customWidth="1"/>
    <col min="15383" max="15383" width="0" style="21" hidden="1" customWidth="1"/>
    <col min="15384" max="15384" width="9.140625" style="21"/>
    <col min="15385" max="15385" width="13.28515625" style="21" bestFit="1" customWidth="1"/>
    <col min="15386" max="15386" width="9.85546875" style="21" bestFit="1" customWidth="1"/>
    <col min="15387" max="15387" width="13.28515625" style="21" bestFit="1" customWidth="1"/>
    <col min="15388" max="15618" width="9.140625" style="21"/>
    <col min="15619" max="15619" width="9.28515625" style="21" bestFit="1" customWidth="1"/>
    <col min="15620" max="15620" width="5" style="21" customWidth="1"/>
    <col min="15621" max="15621" width="37.5703125" style="21" customWidth="1"/>
    <col min="15622" max="15622" width="8.5703125" style="21" customWidth="1"/>
    <col min="15623" max="15623" width="7.85546875" style="21" bestFit="1" customWidth="1"/>
    <col min="15624" max="15626" width="15.7109375" style="21" customWidth="1"/>
    <col min="15627" max="15631" width="0" style="21" hidden="1" customWidth="1"/>
    <col min="15632" max="15632" width="12.7109375" style="21" bestFit="1" customWidth="1"/>
    <col min="15633" max="15633" width="12.5703125" style="21" customWidth="1"/>
    <col min="15634" max="15634" width="5.85546875" style="21" customWidth="1"/>
    <col min="15635" max="15635" width="13.28515625" style="21" bestFit="1" customWidth="1"/>
    <col min="15636" max="15636" width="9.85546875" style="21" customWidth="1"/>
    <col min="15637" max="15637" width="18.42578125" style="21" customWidth="1"/>
    <col min="15638" max="15638" width="13.140625" style="21" bestFit="1" customWidth="1"/>
    <col min="15639" max="15639" width="0" style="21" hidden="1" customWidth="1"/>
    <col min="15640" max="15640" width="9.140625" style="21"/>
    <col min="15641" max="15641" width="13.28515625" style="21" bestFit="1" customWidth="1"/>
    <col min="15642" max="15642" width="9.85546875" style="21" bestFit="1" customWidth="1"/>
    <col min="15643" max="15643" width="13.28515625" style="21" bestFit="1" customWidth="1"/>
    <col min="15644" max="15874" width="9.140625" style="21"/>
    <col min="15875" max="15875" width="9.28515625" style="21" bestFit="1" customWidth="1"/>
    <col min="15876" max="15876" width="5" style="21" customWidth="1"/>
    <col min="15877" max="15877" width="37.5703125" style="21" customWidth="1"/>
    <col min="15878" max="15878" width="8.5703125" style="21" customWidth="1"/>
    <col min="15879" max="15879" width="7.85546875" style="21" bestFit="1" customWidth="1"/>
    <col min="15880" max="15882" width="15.7109375" style="21" customWidth="1"/>
    <col min="15883" max="15887" width="0" style="21" hidden="1" customWidth="1"/>
    <col min="15888" max="15888" width="12.7109375" style="21" bestFit="1" customWidth="1"/>
    <col min="15889" max="15889" width="12.5703125" style="21" customWidth="1"/>
    <col min="15890" max="15890" width="5.85546875" style="21" customWidth="1"/>
    <col min="15891" max="15891" width="13.28515625" style="21" bestFit="1" customWidth="1"/>
    <col min="15892" max="15892" width="9.85546875" style="21" customWidth="1"/>
    <col min="15893" max="15893" width="18.42578125" style="21" customWidth="1"/>
    <col min="15894" max="15894" width="13.140625" style="21" bestFit="1" customWidth="1"/>
    <col min="15895" max="15895" width="0" style="21" hidden="1" customWidth="1"/>
    <col min="15896" max="15896" width="9.140625" style="21"/>
    <col min="15897" max="15897" width="13.28515625" style="21" bestFit="1" customWidth="1"/>
    <col min="15898" max="15898" width="9.85546875" style="21" bestFit="1" customWidth="1"/>
    <col min="15899" max="15899" width="13.28515625" style="21" bestFit="1" customWidth="1"/>
    <col min="15900" max="16130" width="9.140625" style="21"/>
    <col min="16131" max="16131" width="9.28515625" style="21" bestFit="1" customWidth="1"/>
    <col min="16132" max="16132" width="5" style="21" customWidth="1"/>
    <col min="16133" max="16133" width="37.5703125" style="21" customWidth="1"/>
    <col min="16134" max="16134" width="8.5703125" style="21" customWidth="1"/>
    <col min="16135" max="16135" width="7.85546875" style="21" bestFit="1" customWidth="1"/>
    <col min="16136" max="16138" width="15.7109375" style="21" customWidth="1"/>
    <col min="16139" max="16143" width="0" style="21" hidden="1" customWidth="1"/>
    <col min="16144" max="16144" width="12.7109375" style="21" bestFit="1" customWidth="1"/>
    <col min="16145" max="16145" width="12.5703125" style="21" customWidth="1"/>
    <col min="16146" max="16146" width="5.85546875" style="21" customWidth="1"/>
    <col min="16147" max="16147" width="13.28515625" style="21" bestFit="1" customWidth="1"/>
    <col min="16148" max="16148" width="9.85546875" style="21" customWidth="1"/>
    <col min="16149" max="16149" width="18.42578125" style="21" customWidth="1"/>
    <col min="16150" max="16150" width="13.140625" style="21" bestFit="1" customWidth="1"/>
    <col min="16151" max="16151" width="0" style="21" hidden="1" customWidth="1"/>
    <col min="16152" max="16152" width="9.140625" style="21"/>
    <col min="16153" max="16153" width="13.28515625" style="21" bestFit="1" customWidth="1"/>
    <col min="16154" max="16154" width="9.85546875" style="21" bestFit="1" customWidth="1"/>
    <col min="16155" max="16155" width="13.28515625" style="21" bestFit="1" customWidth="1"/>
    <col min="16156" max="16384" width="9.140625" style="21"/>
  </cols>
  <sheetData>
    <row r="1" spans="1:24" ht="15" customHeight="1">
      <c r="S1" s="57" t="s">
        <v>20</v>
      </c>
      <c r="T1" s="58"/>
      <c r="U1" s="58"/>
      <c r="V1" s="58"/>
    </row>
    <row r="2" spans="1:24" ht="15" customHeight="1">
      <c r="S2" s="58" t="s">
        <v>14</v>
      </c>
      <c r="T2" s="58"/>
      <c r="U2" s="58"/>
      <c r="V2" s="58"/>
    </row>
    <row r="3" spans="1:24" ht="15" customHeight="1">
      <c r="B3" s="60" t="s">
        <v>35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47"/>
    </row>
    <row r="4" spans="1:24" ht="63" customHeight="1">
      <c r="A4" s="73" t="s">
        <v>29</v>
      </c>
      <c r="B4" s="74" t="s">
        <v>21</v>
      </c>
      <c r="C4" s="75"/>
      <c r="D4" s="59" t="s">
        <v>22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3"/>
    </row>
    <row r="5" spans="1:24" ht="30" customHeight="1">
      <c r="A5" s="62"/>
      <c r="B5" s="66" t="s">
        <v>16</v>
      </c>
      <c r="C5" s="66"/>
      <c r="D5" s="67">
        <f>V9</f>
        <v>213000</v>
      </c>
      <c r="E5" s="67"/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61" t="s">
        <v>12</v>
      </c>
      <c r="P5" s="61" t="s">
        <v>13</v>
      </c>
      <c r="Q5" s="65" t="s">
        <v>10</v>
      </c>
      <c r="R5" s="65" t="s">
        <v>15</v>
      </c>
      <c r="S5" s="65" t="s">
        <v>11</v>
      </c>
      <c r="T5" s="65" t="s">
        <v>9</v>
      </c>
      <c r="U5" s="65"/>
      <c r="V5" s="61" t="s">
        <v>28</v>
      </c>
      <c r="W5" s="46"/>
    </row>
    <row r="6" spans="1:24" s="20" customFormat="1" ht="15.75" customHeight="1">
      <c r="A6" s="62"/>
      <c r="B6" s="64" t="s">
        <v>0</v>
      </c>
      <c r="C6" s="64" t="s">
        <v>1</v>
      </c>
      <c r="D6" s="64" t="s">
        <v>2</v>
      </c>
      <c r="E6" s="64"/>
      <c r="F6" s="48" t="s">
        <v>5</v>
      </c>
      <c r="G6" s="48" t="s">
        <v>7</v>
      </c>
      <c r="H6" s="48" t="s">
        <v>8</v>
      </c>
      <c r="I6" s="4" t="s">
        <v>17</v>
      </c>
      <c r="J6" s="4" t="s">
        <v>8</v>
      </c>
      <c r="K6" s="4" t="s">
        <v>17</v>
      </c>
      <c r="L6" s="4" t="s">
        <v>18</v>
      </c>
      <c r="M6" s="4" t="s">
        <v>19</v>
      </c>
      <c r="N6" s="4" t="s">
        <v>25</v>
      </c>
      <c r="O6" s="62"/>
      <c r="P6" s="62"/>
      <c r="Q6" s="68"/>
      <c r="R6" s="62"/>
      <c r="S6" s="62"/>
      <c r="T6" s="62"/>
      <c r="U6" s="70"/>
      <c r="V6" s="62"/>
    </row>
    <row r="7" spans="1:24" s="20" customFormat="1" ht="56.25" customHeight="1">
      <c r="A7" s="63"/>
      <c r="B7" s="64"/>
      <c r="C7" s="65"/>
      <c r="D7" s="19" t="s">
        <v>3</v>
      </c>
      <c r="E7" s="19" t="s">
        <v>4</v>
      </c>
      <c r="F7" s="36" t="s">
        <v>38</v>
      </c>
      <c r="G7" s="36" t="s">
        <v>39</v>
      </c>
      <c r="H7" s="36" t="s">
        <v>40</v>
      </c>
      <c r="I7" s="22"/>
      <c r="J7" s="36"/>
      <c r="K7" s="36"/>
      <c r="L7" s="41"/>
      <c r="M7" s="7"/>
      <c r="N7" s="22"/>
      <c r="O7" s="63"/>
      <c r="P7" s="63"/>
      <c r="Q7" s="69"/>
      <c r="R7" s="63"/>
      <c r="S7" s="63"/>
      <c r="T7" s="63"/>
      <c r="U7" s="71"/>
      <c r="V7" s="63"/>
    </row>
    <row r="8" spans="1:24" s="49" customFormat="1" ht="31.5" customHeight="1">
      <c r="A8" s="56" t="s">
        <v>36</v>
      </c>
      <c r="B8" s="5">
        <v>1</v>
      </c>
      <c r="C8" s="23" t="s">
        <v>34</v>
      </c>
      <c r="D8" s="50" t="s">
        <v>27</v>
      </c>
      <c r="E8" s="24">
        <v>600</v>
      </c>
      <c r="F8" s="25">
        <v>355</v>
      </c>
      <c r="G8" s="26">
        <v>360</v>
      </c>
      <c r="H8" s="26">
        <v>365</v>
      </c>
      <c r="I8" s="26"/>
      <c r="J8" s="26"/>
      <c r="K8" s="26"/>
      <c r="L8" s="26"/>
      <c r="M8" s="7"/>
      <c r="N8" s="26"/>
      <c r="O8" s="18">
        <f>AVERAGE(F8:N8)</f>
        <v>360</v>
      </c>
      <c r="P8" s="6">
        <f>ROUND(O8,2)</f>
        <v>360</v>
      </c>
      <c r="Q8" s="7">
        <f>COUNT(F8:N8)</f>
        <v>3</v>
      </c>
      <c r="R8" s="8">
        <f>STDEV(G8,F8,N8,H8,I8,J8,K8)</f>
        <v>5</v>
      </c>
      <c r="S8" s="8">
        <f t="shared" ref="S8" si="0">R8/O8*100</f>
        <v>1.3888888888888888</v>
      </c>
      <c r="T8" s="8" t="str">
        <f t="shared" ref="T8" si="1">IF(S8&lt;33,"ОДНОРОДНЫЕ","НЕОДНОРОДНЫЕ")</f>
        <v>ОДНОРОДНЫЕ</v>
      </c>
      <c r="U8" s="35"/>
      <c r="V8" s="9">
        <f>MIN(F8:H8)*E8</f>
        <v>213000</v>
      </c>
    </row>
    <row r="9" spans="1:24">
      <c r="B9" s="40"/>
      <c r="C9" s="21"/>
      <c r="E9" s="37"/>
      <c r="M9" s="1" t="e">
        <f>SUMPRODUCT(#REF!,#REF!)</f>
        <v>#REF!</v>
      </c>
      <c r="N9" s="1" t="e">
        <f>SUMPRODUCT(#REF!,#REF!)</f>
        <v>#REF!</v>
      </c>
      <c r="O9" s="1"/>
      <c r="P9" s="1"/>
      <c r="T9" s="28" t="s">
        <v>26</v>
      </c>
      <c r="V9" s="39">
        <f>V8</f>
        <v>213000</v>
      </c>
    </row>
    <row r="10" spans="1:24" ht="15" hidden="1" customHeight="1">
      <c r="B10" s="40"/>
      <c r="C10" s="21"/>
      <c r="D10" s="27"/>
      <c r="F10" s="20"/>
      <c r="O10" s="1"/>
      <c r="Q10" s="2"/>
      <c r="R10" s="20"/>
      <c r="V10" s="21"/>
    </row>
    <row r="11" spans="1:24" ht="15.75" hidden="1" customHeight="1">
      <c r="B11" s="40"/>
      <c r="C11" s="10" t="s">
        <v>23</v>
      </c>
      <c r="D11" s="11"/>
      <c r="E11" s="11"/>
      <c r="F11" s="12"/>
      <c r="G11" s="12" t="s">
        <v>24</v>
      </c>
    </row>
    <row r="12" spans="1:24" ht="15.75" hidden="1" customHeight="1">
      <c r="B12" s="40"/>
      <c r="T12" s="13">
        <v>0.01</v>
      </c>
      <c r="U12" s="13"/>
      <c r="V12" s="14">
        <f>V9*0.01</f>
        <v>2130</v>
      </c>
    </row>
    <row r="13" spans="1:24" ht="15.75" customHeight="1">
      <c r="B13" s="40"/>
      <c r="S13" s="15"/>
      <c r="T13" s="16"/>
      <c r="U13" s="16"/>
      <c r="V13" s="17"/>
      <c r="W13" s="15"/>
      <c r="X13" s="15"/>
    </row>
    <row r="14" spans="1:24">
      <c r="B14" s="40"/>
      <c r="C14" s="38" t="s">
        <v>37</v>
      </c>
      <c r="U14" s="21"/>
      <c r="V14" s="21"/>
    </row>
    <row r="15" spans="1:24">
      <c r="C15" s="30"/>
      <c r="D15" s="30"/>
      <c r="E15" s="31"/>
      <c r="F15" s="31"/>
      <c r="G15" s="34"/>
      <c r="H15" s="30"/>
      <c r="I15" s="32">
        <f>V9</f>
        <v>213000</v>
      </c>
      <c r="U15" s="13">
        <v>0.05</v>
      </c>
      <c r="V15" s="21"/>
    </row>
    <row r="16" spans="1:24">
      <c r="A16" s="52"/>
      <c r="B16" s="52"/>
      <c r="C16" s="54" t="s">
        <v>30</v>
      </c>
      <c r="D16" s="33"/>
      <c r="E16" s="31"/>
      <c r="F16" s="31"/>
      <c r="G16" s="33"/>
      <c r="H16" s="33"/>
      <c r="I16" s="33"/>
      <c r="Q16" s="42"/>
      <c r="R16" s="15"/>
      <c r="S16" s="15"/>
      <c r="T16" s="15"/>
      <c r="U16" s="15"/>
      <c r="V16" s="17"/>
    </row>
    <row r="17" spans="1:24" ht="31.5">
      <c r="A17" s="52"/>
      <c r="B17" s="52"/>
      <c r="C17" s="54" t="s">
        <v>31</v>
      </c>
      <c r="D17" s="11"/>
      <c r="E17" s="53"/>
      <c r="F17" s="55" t="s">
        <v>33</v>
      </c>
      <c r="H17" s="21"/>
      <c r="Q17" s="42"/>
      <c r="R17" s="15"/>
      <c r="S17" s="15"/>
      <c r="T17" s="15"/>
      <c r="U17" s="15"/>
      <c r="V17" s="17"/>
    </row>
    <row r="18" spans="1:24">
      <c r="A18" s="52"/>
      <c r="B18" s="52"/>
      <c r="C18" s="51"/>
      <c r="D18" s="51"/>
      <c r="E18" s="51"/>
      <c r="Q18" s="42"/>
      <c r="R18" s="15"/>
      <c r="S18" s="15"/>
      <c r="T18" s="15"/>
      <c r="U18" s="15"/>
      <c r="V18" s="17"/>
    </row>
    <row r="19" spans="1:24">
      <c r="A19" s="52"/>
      <c r="B19" s="52"/>
      <c r="C19" s="51"/>
      <c r="D19" s="51"/>
      <c r="E19" s="51" t="s">
        <v>32</v>
      </c>
      <c r="Q19" s="42"/>
      <c r="R19" s="15"/>
      <c r="S19" s="15"/>
      <c r="T19" s="15"/>
      <c r="U19" s="15"/>
      <c r="V19" s="17"/>
      <c r="X19" s="15"/>
    </row>
    <row r="20" spans="1:24">
      <c r="C20" s="42"/>
      <c r="Q20" s="42"/>
      <c r="R20" s="15"/>
      <c r="S20" s="15"/>
      <c r="T20" s="15"/>
      <c r="U20" s="15"/>
      <c r="V20" s="17"/>
    </row>
    <row r="21" spans="1:24">
      <c r="C21" s="44"/>
      <c r="D21" s="43"/>
      <c r="Q21" s="42"/>
      <c r="R21" s="15"/>
      <c r="S21" s="15"/>
      <c r="T21" s="15"/>
      <c r="U21" s="15"/>
      <c r="V21" s="17"/>
    </row>
    <row r="22" spans="1:24">
      <c r="C22" s="44"/>
      <c r="D22" s="43"/>
    </row>
    <row r="23" spans="1:24">
      <c r="C23" s="45"/>
      <c r="D23" s="43"/>
    </row>
    <row r="24" spans="1:24">
      <c r="C24" s="44"/>
      <c r="D24" s="43"/>
    </row>
    <row r="25" spans="1:24">
      <c r="C25" s="44"/>
      <c r="D25" s="43"/>
    </row>
    <row r="26" spans="1:24">
      <c r="C26" s="45"/>
      <c r="D26" s="43"/>
    </row>
    <row r="27" spans="1:24">
      <c r="C27" s="44"/>
      <c r="D27" s="72"/>
    </row>
    <row r="28" spans="1:24">
      <c r="C28" s="44"/>
      <c r="D28" s="72"/>
    </row>
    <row r="29" spans="1:24">
      <c r="C29" s="44"/>
      <c r="D29" s="43"/>
    </row>
    <row r="30" spans="1:24">
      <c r="C30" s="44"/>
      <c r="D30" s="43"/>
    </row>
    <row r="31" spans="1:24">
      <c r="C31" s="44"/>
      <c r="D31" s="43"/>
    </row>
    <row r="32" spans="1:24">
      <c r="C32" s="42"/>
    </row>
    <row r="33" spans="3:3">
      <c r="C33" s="42"/>
    </row>
    <row r="34" spans="3:3">
      <c r="C34" s="42"/>
    </row>
    <row r="35" spans="3:3">
      <c r="C35" s="42"/>
    </row>
  </sheetData>
  <mergeCells count="20">
    <mergeCell ref="D27:D28"/>
    <mergeCell ref="A4:A7"/>
    <mergeCell ref="R5:R7"/>
    <mergeCell ref="S5:S7"/>
    <mergeCell ref="T5:T7"/>
    <mergeCell ref="B4:C4"/>
    <mergeCell ref="S1:V1"/>
    <mergeCell ref="S2:V2"/>
    <mergeCell ref="D4:V4"/>
    <mergeCell ref="B3:V3"/>
    <mergeCell ref="V5:V7"/>
    <mergeCell ref="B6:B7"/>
    <mergeCell ref="C6:C7"/>
    <mergeCell ref="D6:E6"/>
    <mergeCell ref="B5:C5"/>
    <mergeCell ref="O5:O7"/>
    <mergeCell ref="D5:E5"/>
    <mergeCell ref="P5:P7"/>
    <mergeCell ref="Q5:Q7"/>
    <mergeCell ref="U5:U7"/>
  </mergeCells>
  <conditionalFormatting sqref="T8:U9">
    <cfRule type="containsText" dxfId="5" priority="16" operator="containsText" text="НЕ">
      <formula>NOT(ISERROR(SEARCH("НЕ",T8)))</formula>
    </cfRule>
    <cfRule type="containsText" dxfId="4" priority="17" operator="containsText" text="ОДНОРОДНЫЕ">
      <formula>NOT(ISERROR(SEARCH("ОДНОРОДНЫЕ",T8)))</formula>
    </cfRule>
    <cfRule type="containsText" dxfId="3" priority="18" operator="containsText" text="НЕОДНОРОДНЫЕ">
      <formula>NOT(ISERROR(SEARCH("НЕОДНОРОДНЫЕ",T8)))</formula>
    </cfRule>
  </conditionalFormatting>
  <conditionalFormatting sqref="T8:U9">
    <cfRule type="containsText" dxfId="2" priority="13" operator="containsText" text="НЕОДНОРОДНЫЕ">
      <formula>NOT(ISERROR(SEARCH("НЕОДНОРОДНЫЕ",T8)))</formula>
    </cfRule>
    <cfRule type="containsText" dxfId="1" priority="14" operator="containsText" text="ОДНОРОДНЫЕ">
      <formula>NOT(ISERROR(SEARCH("ОДНОРОДНЫЕ",T8)))</formula>
    </cfRule>
    <cfRule type="containsText" dxfId="0" priority="15" operator="containsText" text="НЕОДНОРОДНЫЕ">
      <formula>NOT(ISERROR(SEARCH("НЕОДНОРОДНЫЕ",T8)))</formula>
    </cfRule>
  </conditionalFormatting>
  <hyperlinks>
    <hyperlink ref="I6" r:id="rId1" display="www.kartmaster.ru"/>
    <hyperlink ref="N6" r:id="rId2" display="http://ofiskom.com/"/>
    <hyperlink ref="L6" r:id="rId3" display="http://office-snabs.ru/"/>
    <hyperlink ref="O6" r:id="rId4" display="www.oficity.ru"/>
    <hyperlink ref="M6" r:id="rId5" display="http://ofiskom.com/"/>
    <hyperlink ref="F7" r:id="rId6" display="www.officemag.ru"/>
    <hyperlink ref="G7" r:id="rId7" display="www.officemag.ru"/>
    <hyperlink ref="H7" r:id="rId8" display="www.officemag.ru"/>
  </hyperlinks>
  <pageMargins left="0.70866141732283472" right="0.70866141732283472" top="0.74803149606299213" bottom="0.74803149606299213" header="0.31496062992125984" footer="0.31496062992125984"/>
  <pageSetup paperSize="9" scale="51" orientation="landscape" horizontalDpi="180" verticalDpi="18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расчет_НМЦК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2026-07-16T12:42:25Z</dcterms:modified>
</cp:coreProperties>
</file>