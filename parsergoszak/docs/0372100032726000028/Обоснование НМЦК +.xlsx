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olotova_an\Desktop\Бумага2026\"/>
    </mc:Choice>
  </mc:AlternateContent>
  <bookViews>
    <workbookView xWindow="0" yWindow="0" windowWidth="23040" windowHeight="8610"/>
  </bookViews>
  <sheets>
    <sheet name="Лист1" sheetId="1" r:id="rId1"/>
  </sheets>
  <definedNames>
    <definedName name="_xlnm._FilterDatabase" localSheetId="0" hidden="1">Лист1!$A$4:$U$4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6" i="1" l="1"/>
  <c r="M5" i="1" l="1"/>
  <c r="N5" i="1" s="1"/>
  <c r="O5" i="1" s="1"/>
  <c r="P5" i="1" s="1"/>
  <c r="P8" i="1" s="1"/>
  <c r="J5" i="1"/>
  <c r="K5" i="1" s="1"/>
  <c r="L5" i="1" s="1"/>
</calcChain>
</file>

<file path=xl/sharedStrings.xml><?xml version="1.0" encoding="utf-8"?>
<sst xmlns="http://schemas.openxmlformats.org/spreadsheetml/2006/main" count="30" uniqueCount="29">
  <si>
    <t>№</t>
  </si>
  <si>
    <t>Наименование</t>
  </si>
  <si>
    <t>Ед. изм.</t>
  </si>
  <si>
    <t>Кол-во</t>
  </si>
  <si>
    <t>Оценка однородности совокупности значений выявленных цен, используемых в расчете Н(М)ЦК</t>
  </si>
  <si>
    <t>Н(М)ЦК, определяемая методом сопоставимых рыночных цен (анализа рынка)*</t>
  </si>
  <si>
    <t>Поставщик 1</t>
  </si>
  <si>
    <t>Поставщик 2</t>
  </si>
  <si>
    <t>Поставщик 3</t>
  </si>
  <si>
    <r>
      <t>Средняя арифметическая цена за единицу     &lt;</t>
    </r>
    <r>
      <rPr>
        <b/>
        <i/>
        <sz val="14"/>
        <color indexed="8"/>
        <rFont val="Times New Roman"/>
        <family val="1"/>
        <charset val="204"/>
      </rPr>
      <t>ц</t>
    </r>
    <r>
      <rPr>
        <b/>
        <sz val="14"/>
        <color indexed="8"/>
        <rFont val="Times New Roman"/>
        <family val="1"/>
        <charset val="204"/>
      </rPr>
      <t xml:space="preserve">&gt; </t>
    </r>
  </si>
  <si>
    <t>Среднее квадратичное отклонение</t>
  </si>
  <si>
    <r>
      <t xml:space="preserve">коэффициент вариации цен V (%)           </t>
    </r>
    <r>
      <rPr>
        <i/>
        <sz val="14"/>
        <color indexed="8"/>
        <rFont val="Times New Roman"/>
        <family val="1"/>
        <charset val="204"/>
      </rPr>
      <t xml:space="preserve">                      (не должен превышать 33%)</t>
    </r>
  </si>
  <si>
    <r>
      <rPr>
        <b/>
        <sz val="14"/>
        <color indexed="8"/>
        <rFont val="Times New Roman"/>
        <family val="1"/>
        <charset val="204"/>
      </rPr>
      <t>Расчет Н(М)ЦК по формуле</t>
    </r>
    <r>
      <rPr>
        <sz val="14"/>
        <color indexed="8"/>
        <rFont val="Times New Roman"/>
        <family val="1"/>
        <charset val="204"/>
      </rPr>
      <t xml:space="preserve">                                         v - количество (объем) закупаемого товара (работы, услуги);
n - количество значений, используемых в расчете;
i - номер источника ценовой информации;
     - цена единицы</t>
    </r>
  </si>
  <si>
    <t>Цена за единицу изм. (руб.)</t>
  </si>
  <si>
    <t>Цена за единицу изм. с округлением  до сотых долей после запятой (руб.)</t>
  </si>
  <si>
    <t>Н(М)ЦК,контракта с учетом округления цены за единицу (руб.)</t>
  </si>
  <si>
    <t>Итого:</t>
  </si>
  <si>
    <t xml:space="preserve">При определении Н(М)ЦК  Заказчиком применяется Приказ Минэкономразвития России от 02.10.2013 N 567 "Об утверждении Методических рекомендаций по применению методов определения начальной (максимальной) цены контракта, цены контракта, заключаемого с единственным поставщиком (подрядчиком, исполнителем)" (Метод сопоставимых рыночных цен (анализ рынка)). Приоритетным методом формирования начальной (максимальной) цены контракта на поставку товаров  является сопоставление рыночных цен (ст. 22 Федерального закона от 05.04.2013 № 44-ФЗ). 
</t>
  </si>
  <si>
    <t xml:space="preserve"> </t>
  </si>
  <si>
    <t>Поставщик №1</t>
  </si>
  <si>
    <t>Поставщик №2</t>
  </si>
  <si>
    <t>Поставщик №3</t>
  </si>
  <si>
    <t>Ведущий специалист контрактной службы                               Золотова А.Н.</t>
  </si>
  <si>
    <t>Бумага для офисной техники</t>
  </si>
  <si>
    <t>Пачка</t>
  </si>
  <si>
    <t xml:space="preserve">Обоснование начальной (максимальной) цены контракта (Н(М)ЦК) на Поставку бумаги для нужд БГТУ «ВОЕНМЕХ» 
</t>
  </si>
  <si>
    <t xml:space="preserve"> договор с ЕИС   ИКЗ  261760602976276060100100090011712244</t>
  </si>
  <si>
    <t xml:space="preserve"> договор с ЕИС   ИКЗ  262745120795674530100100190011712244</t>
  </si>
  <si>
    <t xml:space="preserve"> договор с ЕИС   ИКЗ  251561103261556110100100350021712244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</si>
</sst>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₽_-;\-* #,##0.00\ _₽_-;_-* &quot;-&quot;??\ _₽_-;_-@_-"/>
    <numFmt numFmtId="164" formatCode="0.000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u/>
      <sz val="10"/>
      <color theme="10"/>
      <name val="Arial Cyr"/>
      <charset val="204"/>
    </font>
    <font>
      <b/>
      <i/>
      <sz val="14"/>
      <color indexed="8"/>
      <name val="Times New Roman"/>
      <family val="1"/>
      <charset val="204"/>
    </font>
    <font>
      <i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name val="Arial Cyr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0" xfId="0" applyBorder="1"/>
    <xf numFmtId="0" fontId="4" fillId="0" borderId="2" xfId="3" applyBorder="1" applyAlignment="1">
      <alignment horizontal="center" vertical="center" wrapText="1"/>
    </xf>
    <xf numFmtId="0" fontId="4" fillId="0" borderId="2" xfId="3" applyNumberFormat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 wrapText="1"/>
    </xf>
    <xf numFmtId="2" fontId="7" fillId="2" borderId="2" xfId="0" applyNumberFormat="1" applyFont="1" applyFill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4" fontId="3" fillId="2" borderId="2" xfId="0" applyNumberFormat="1" applyFont="1" applyFill="1" applyBorder="1" applyAlignment="1">
      <alignment horizontal="center" vertical="center" wrapText="1"/>
    </xf>
    <xf numFmtId="0" fontId="12" fillId="0" borderId="0" xfId="2" applyFont="1" applyAlignment="1"/>
    <xf numFmtId="2" fontId="11" fillId="0" borderId="0" xfId="2" applyNumberFormat="1" applyFont="1"/>
    <xf numFmtId="0" fontId="14" fillId="0" borderId="0" xfId="2" applyFont="1"/>
    <xf numFmtId="0" fontId="12" fillId="0" borderId="0" xfId="2" applyFont="1"/>
    <xf numFmtId="2" fontId="12" fillId="0" borderId="0" xfId="2" applyNumberFormat="1" applyFont="1" applyAlignment="1" applyProtection="1">
      <alignment wrapText="1"/>
      <protection locked="0"/>
    </xf>
    <xf numFmtId="2" fontId="11" fillId="0" borderId="0" xfId="2" applyNumberFormat="1" applyFont="1" applyFill="1" applyAlignment="1" applyProtection="1">
      <alignment horizontal="center" vertical="center"/>
      <protection locked="0"/>
    </xf>
    <xf numFmtId="2" fontId="12" fillId="0" borderId="0" xfId="2" applyNumberFormat="1" applyFont="1" applyFill="1" applyAlignment="1" applyProtection="1">
      <alignment vertical="center"/>
      <protection locked="0"/>
    </xf>
    <xf numFmtId="2" fontId="15" fillId="0" borderId="0" xfId="2" applyNumberFormat="1" applyFont="1" applyAlignment="1" applyProtection="1">
      <alignment horizontal="center" wrapText="1"/>
      <protection locked="0"/>
    </xf>
    <xf numFmtId="2" fontId="15" fillId="0" borderId="0" xfId="2" applyNumberFormat="1" applyFont="1" applyAlignment="1" applyProtection="1">
      <alignment wrapText="1"/>
      <protection locked="0"/>
    </xf>
    <xf numFmtId="0" fontId="15" fillId="0" borderId="0" xfId="2" applyFont="1" applyFill="1" applyAlignment="1" applyProtection="1">
      <alignment horizontal="right" vertical="center"/>
      <protection locked="0"/>
    </xf>
    <xf numFmtId="4" fontId="15" fillId="0" borderId="0" xfId="2" applyNumberFormat="1" applyFont="1" applyAlignment="1">
      <alignment horizontal="center" vertical="top"/>
    </xf>
    <xf numFmtId="0" fontId="12" fillId="0" borderId="0" xfId="2" applyFont="1" applyFill="1" applyAlignment="1" applyProtection="1">
      <alignment vertical="center"/>
      <protection locked="0"/>
    </xf>
    <xf numFmtId="0" fontId="13" fillId="0" borderId="0" xfId="0" applyFont="1"/>
    <xf numFmtId="2" fontId="0" fillId="0" borderId="0" xfId="0" applyNumberFormat="1"/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left" vertical="center"/>
    </xf>
    <xf numFmtId="43" fontId="17" fillId="0" borderId="0" xfId="1" applyFont="1" applyFill="1" applyAlignment="1">
      <alignment vertical="center"/>
    </xf>
    <xf numFmtId="0" fontId="13" fillId="0" borderId="0" xfId="0" applyFont="1" applyAlignment="1"/>
    <xf numFmtId="0" fontId="4" fillId="0" borderId="5" xfId="3" applyBorder="1" applyAlignment="1">
      <alignment horizontal="center" vertical="center" wrapText="1"/>
    </xf>
    <xf numFmtId="0" fontId="4" fillId="0" borderId="7" xfId="3" applyBorder="1" applyAlignment="1">
      <alignment horizontal="center" vertical="center" wrapText="1"/>
    </xf>
    <xf numFmtId="0" fontId="12" fillId="0" borderId="0" xfId="2" applyFont="1" applyAlignment="1" applyProtection="1">
      <alignment horizontal="left" vertical="top" wrapText="1"/>
      <protection locked="0"/>
    </xf>
    <xf numFmtId="0" fontId="3" fillId="0" borderId="9" xfId="2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justify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4" fillId="0" borderId="4" xfId="3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10" fillId="0" borderId="8" xfId="0" applyFont="1" applyBorder="1" applyAlignment="1">
      <alignment horizontal="right"/>
    </xf>
    <xf numFmtId="4" fontId="3" fillId="2" borderId="8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7" fillId="2" borderId="3" xfId="2" applyFont="1" applyFill="1" applyBorder="1" applyAlignment="1">
      <alignment horizontal="center" vertical="center" wrapText="1"/>
    </xf>
    <xf numFmtId="4" fontId="13" fillId="0" borderId="4" xfId="3" applyNumberFormat="1" applyFont="1" applyBorder="1" applyAlignment="1">
      <alignment horizontal="center" vertical="center" wrapText="1"/>
    </xf>
    <xf numFmtId="4" fontId="13" fillId="0" borderId="2" xfId="3" applyNumberFormat="1" applyFont="1" applyBorder="1" applyAlignment="1">
      <alignment horizontal="center" vertical="center" wrapText="1"/>
    </xf>
    <xf numFmtId="2" fontId="9" fillId="0" borderId="2" xfId="0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center" vertical="top" wrapText="1"/>
    </xf>
    <xf numFmtId="0" fontId="12" fillId="0" borderId="0" xfId="2" applyFont="1" applyAlignment="1" applyProtection="1">
      <alignment horizontal="center" vertical="top" wrapText="1"/>
      <protection locked="0"/>
    </xf>
    <xf numFmtId="0" fontId="3" fillId="0" borderId="1" xfId="2" applyFont="1" applyFill="1" applyBorder="1" applyAlignment="1">
      <alignment vertical="top" wrapText="1"/>
    </xf>
    <xf numFmtId="0" fontId="3" fillId="0" borderId="2" xfId="2" applyFont="1" applyFill="1" applyBorder="1" applyAlignment="1">
      <alignment horizontal="center" vertical="center" wrapText="1"/>
    </xf>
    <xf numFmtId="0" fontId="3" fillId="0" borderId="6" xfId="2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" fontId="3" fillId="0" borderId="2" xfId="2" applyNumberFormat="1" applyFont="1" applyFill="1" applyBorder="1" applyAlignment="1">
      <alignment horizontal="center" vertical="top" wrapText="1"/>
    </xf>
    <xf numFmtId="0" fontId="3" fillId="0" borderId="2" xfId="2" applyFont="1" applyBorder="1" applyAlignment="1">
      <alignment horizontal="center" vertical="top" wrapText="1"/>
    </xf>
    <xf numFmtId="0" fontId="4" fillId="0" borderId="5" xfId="3" applyBorder="1" applyAlignment="1">
      <alignment horizontal="center" vertical="center" wrapText="1"/>
    </xf>
    <xf numFmtId="0" fontId="4" fillId="0" borderId="7" xfId="3" applyBorder="1" applyAlignment="1">
      <alignment horizontal="center" vertical="center" wrapText="1"/>
    </xf>
    <xf numFmtId="0" fontId="4" fillId="0" borderId="5" xfId="3" applyNumberFormat="1" applyBorder="1" applyAlignment="1">
      <alignment horizontal="center" vertical="center" wrapText="1"/>
    </xf>
    <xf numFmtId="0" fontId="4" fillId="0" borderId="7" xfId="3" applyNumberFormat="1" applyBorder="1" applyAlignment="1">
      <alignment horizontal="center" vertical="center" wrapText="1"/>
    </xf>
    <xf numFmtId="2" fontId="3" fillId="0" borderId="6" xfId="0" applyNumberFormat="1" applyFont="1" applyBorder="1" applyAlignment="1">
      <alignment horizontal="center" vertical="top" wrapText="1"/>
    </xf>
    <xf numFmtId="2" fontId="8" fillId="0" borderId="8" xfId="0" applyNumberFormat="1" applyFont="1" applyBorder="1" applyAlignment="1">
      <alignment horizontal="center" vertical="top" wrapText="1"/>
    </xf>
    <xf numFmtId="2" fontId="3" fillId="0" borderId="6" xfId="0" applyNumberFormat="1" applyFont="1" applyFill="1" applyBorder="1" applyAlignment="1">
      <alignment horizontal="center" vertical="top" wrapText="1"/>
    </xf>
    <xf numFmtId="2" fontId="7" fillId="0" borderId="6" xfId="0" applyNumberFormat="1" applyFont="1" applyBorder="1" applyAlignment="1">
      <alignment horizontal="center" vertical="top" wrapText="1"/>
    </xf>
    <xf numFmtId="0" fontId="16" fillId="0" borderId="0" xfId="0" applyFont="1" applyAlignment="1">
      <alignment horizontal="left" vertical="center" wrapText="1"/>
    </xf>
    <xf numFmtId="0" fontId="12" fillId="0" borderId="0" xfId="2" applyFont="1" applyAlignment="1">
      <alignment horizontal="center" vertical="center" wrapText="1"/>
    </xf>
    <xf numFmtId="0" fontId="11" fillId="0" borderId="0" xfId="2" applyFont="1" applyAlignment="1">
      <alignment horizontal="left" vertical="center" wrapText="1"/>
    </xf>
    <xf numFmtId="0" fontId="12" fillId="0" borderId="0" xfId="2" applyFont="1" applyAlignment="1" applyProtection="1">
      <alignment horizontal="left" vertical="top" wrapText="1"/>
      <protection locked="0"/>
    </xf>
    <xf numFmtId="0" fontId="13" fillId="0" borderId="0" xfId="0" applyFont="1" applyAlignment="1">
      <alignment vertical="center"/>
    </xf>
    <xf numFmtId="0" fontId="13" fillId="0" borderId="0" xfId="0" applyFont="1" applyAlignment="1"/>
  </cellXfs>
  <cellStyles count="4">
    <cellStyle name="Гиперссылка" xfId="3" builtinId="8"/>
    <cellStyle name="Обычный" xfId="0" builtinId="0"/>
    <cellStyle name="Обычный_Лист1" xfId="2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wmf"/><Relationship Id="rId2" Type="http://schemas.openxmlformats.org/officeDocument/2006/relationships/image" Target="../media/image2.wmf"/><Relationship Id="rId1" Type="http://schemas.openxmlformats.org/officeDocument/2006/relationships/image" Target="../media/image1.wmf"/><Relationship Id="rId4" Type="http://schemas.openxmlformats.org/officeDocument/2006/relationships/image" Target="../media/image4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2</xdr:row>
      <xdr:rowOff>2190750</xdr:rowOff>
    </xdr:from>
    <xdr:to>
      <xdr:col>12</xdr:col>
      <xdr:colOff>19050</xdr:colOff>
      <xdr:row>2</xdr:row>
      <xdr:rowOff>2447925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96300" y="2400300"/>
          <a:ext cx="1095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1114425</xdr:colOff>
      <xdr:row>2</xdr:row>
      <xdr:rowOff>1485900</xdr:rowOff>
    </xdr:from>
    <xdr:to>
      <xdr:col>10</xdr:col>
      <xdr:colOff>904875</xdr:colOff>
      <xdr:row>2</xdr:row>
      <xdr:rowOff>1809750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400300"/>
          <a:ext cx="10668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9525</xdr:colOff>
      <xdr:row>2</xdr:row>
      <xdr:rowOff>3219450</xdr:rowOff>
    </xdr:from>
    <xdr:to>
      <xdr:col>12</xdr:col>
      <xdr:colOff>857250</xdr:colOff>
      <xdr:row>2</xdr:row>
      <xdr:rowOff>3505200</xdr:rowOff>
    </xdr:to>
    <xdr:pic>
      <xdr:nvPicPr>
        <xdr:cNvPr id="4" name="Picture 5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82150" y="2400300"/>
          <a:ext cx="8477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133350</xdr:colOff>
      <xdr:row>2</xdr:row>
      <xdr:rowOff>2724150</xdr:rowOff>
    </xdr:from>
    <xdr:to>
      <xdr:col>12</xdr:col>
      <xdr:colOff>285750</xdr:colOff>
      <xdr:row>2</xdr:row>
      <xdr:rowOff>2905125</xdr:rowOff>
    </xdr:to>
    <xdr:pic>
      <xdr:nvPicPr>
        <xdr:cNvPr id="5" name="Picture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05975" y="2400300"/>
          <a:ext cx="1524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1"/>
  <sheetViews>
    <sheetView tabSelected="1" zoomScale="60" zoomScaleNormal="60" workbookViewId="0">
      <selection activeCell="K23" sqref="K23"/>
    </sheetView>
  </sheetViews>
  <sheetFormatPr defaultRowHeight="15" x14ac:dyDescent="0.25"/>
  <cols>
    <col min="2" max="2" width="43.140625" customWidth="1"/>
    <col min="3" max="3" width="13.7109375" customWidth="1"/>
    <col min="4" max="4" width="12.85546875" customWidth="1"/>
    <col min="5" max="5" width="13.7109375" customWidth="1"/>
    <col min="6" max="6" width="13.7109375" hidden="1" customWidth="1"/>
    <col min="7" max="7" width="14" customWidth="1"/>
    <col min="8" max="8" width="14" hidden="1" customWidth="1"/>
    <col min="9" max="9" width="14.28515625" customWidth="1"/>
    <col min="10" max="10" width="19.140625" customWidth="1"/>
    <col min="11" max="11" width="16.85546875" customWidth="1"/>
    <col min="12" max="12" width="16.7109375" customWidth="1"/>
    <col min="13" max="13" width="21.42578125" customWidth="1"/>
    <col min="14" max="14" width="22.140625" customWidth="1"/>
    <col min="15" max="15" width="24.5703125" customWidth="1"/>
    <col min="16" max="16" width="36.140625" customWidth="1"/>
    <col min="17" max="17" width="36.5703125" customWidth="1"/>
    <col min="260" max="260" width="16.42578125" customWidth="1"/>
    <col min="261" max="261" width="10.42578125" customWidth="1"/>
    <col min="262" max="262" width="12.85546875" customWidth="1"/>
    <col min="263" max="263" width="13.7109375" customWidth="1"/>
    <col min="264" max="264" width="14" customWidth="1"/>
    <col min="265" max="265" width="14.28515625" customWidth="1"/>
    <col min="266" max="266" width="19.140625" customWidth="1"/>
    <col min="267" max="267" width="16.85546875" customWidth="1"/>
    <col min="268" max="268" width="16.7109375" customWidth="1"/>
    <col min="269" max="270" width="17.85546875" customWidth="1"/>
    <col min="271" max="271" width="19.5703125" customWidth="1"/>
    <col min="272" max="272" width="25.7109375" customWidth="1"/>
    <col min="516" max="516" width="16.42578125" customWidth="1"/>
    <col min="517" max="517" width="10.42578125" customWidth="1"/>
    <col min="518" max="518" width="12.85546875" customWidth="1"/>
    <col min="519" max="519" width="13.7109375" customWidth="1"/>
    <col min="520" max="520" width="14" customWidth="1"/>
    <col min="521" max="521" width="14.28515625" customWidth="1"/>
    <col min="522" max="522" width="19.140625" customWidth="1"/>
    <col min="523" max="523" width="16.85546875" customWidth="1"/>
    <col min="524" max="524" width="16.7109375" customWidth="1"/>
    <col min="525" max="526" width="17.85546875" customWidth="1"/>
    <col min="527" max="527" width="19.5703125" customWidth="1"/>
    <col min="528" max="528" width="25.7109375" customWidth="1"/>
    <col min="772" max="772" width="16.42578125" customWidth="1"/>
    <col min="773" max="773" width="10.42578125" customWidth="1"/>
    <col min="774" max="774" width="12.85546875" customWidth="1"/>
    <col min="775" max="775" width="13.7109375" customWidth="1"/>
    <col min="776" max="776" width="14" customWidth="1"/>
    <col min="777" max="777" width="14.28515625" customWidth="1"/>
    <col min="778" max="778" width="19.140625" customWidth="1"/>
    <col min="779" max="779" width="16.85546875" customWidth="1"/>
    <col min="780" max="780" width="16.7109375" customWidth="1"/>
    <col min="781" max="782" width="17.85546875" customWidth="1"/>
    <col min="783" max="783" width="19.5703125" customWidth="1"/>
    <col min="784" max="784" width="25.7109375" customWidth="1"/>
    <col min="1028" max="1028" width="16.42578125" customWidth="1"/>
    <col min="1029" max="1029" width="10.42578125" customWidth="1"/>
    <col min="1030" max="1030" width="12.85546875" customWidth="1"/>
    <col min="1031" max="1031" width="13.7109375" customWidth="1"/>
    <col min="1032" max="1032" width="14" customWidth="1"/>
    <col min="1033" max="1033" width="14.28515625" customWidth="1"/>
    <col min="1034" max="1034" width="19.140625" customWidth="1"/>
    <col min="1035" max="1035" width="16.85546875" customWidth="1"/>
    <col min="1036" max="1036" width="16.7109375" customWidth="1"/>
    <col min="1037" max="1038" width="17.85546875" customWidth="1"/>
    <col min="1039" max="1039" width="19.5703125" customWidth="1"/>
    <col min="1040" max="1040" width="25.7109375" customWidth="1"/>
    <col min="1284" max="1284" width="16.42578125" customWidth="1"/>
    <col min="1285" max="1285" width="10.42578125" customWidth="1"/>
    <col min="1286" max="1286" width="12.85546875" customWidth="1"/>
    <col min="1287" max="1287" width="13.7109375" customWidth="1"/>
    <col min="1288" max="1288" width="14" customWidth="1"/>
    <col min="1289" max="1289" width="14.28515625" customWidth="1"/>
    <col min="1290" max="1290" width="19.140625" customWidth="1"/>
    <col min="1291" max="1291" width="16.85546875" customWidth="1"/>
    <col min="1292" max="1292" width="16.7109375" customWidth="1"/>
    <col min="1293" max="1294" width="17.85546875" customWidth="1"/>
    <col min="1295" max="1295" width="19.5703125" customWidth="1"/>
    <col min="1296" max="1296" width="25.7109375" customWidth="1"/>
    <col min="1540" max="1540" width="16.42578125" customWidth="1"/>
    <col min="1541" max="1541" width="10.42578125" customWidth="1"/>
    <col min="1542" max="1542" width="12.85546875" customWidth="1"/>
    <col min="1543" max="1543" width="13.7109375" customWidth="1"/>
    <col min="1544" max="1544" width="14" customWidth="1"/>
    <col min="1545" max="1545" width="14.28515625" customWidth="1"/>
    <col min="1546" max="1546" width="19.140625" customWidth="1"/>
    <col min="1547" max="1547" width="16.85546875" customWidth="1"/>
    <col min="1548" max="1548" width="16.7109375" customWidth="1"/>
    <col min="1549" max="1550" width="17.85546875" customWidth="1"/>
    <col min="1551" max="1551" width="19.5703125" customWidth="1"/>
    <col min="1552" max="1552" width="25.7109375" customWidth="1"/>
    <col min="1796" max="1796" width="16.42578125" customWidth="1"/>
    <col min="1797" max="1797" width="10.42578125" customWidth="1"/>
    <col min="1798" max="1798" width="12.85546875" customWidth="1"/>
    <col min="1799" max="1799" width="13.7109375" customWidth="1"/>
    <col min="1800" max="1800" width="14" customWidth="1"/>
    <col min="1801" max="1801" width="14.28515625" customWidth="1"/>
    <col min="1802" max="1802" width="19.140625" customWidth="1"/>
    <col min="1803" max="1803" width="16.85546875" customWidth="1"/>
    <col min="1804" max="1804" width="16.7109375" customWidth="1"/>
    <col min="1805" max="1806" width="17.85546875" customWidth="1"/>
    <col min="1807" max="1807" width="19.5703125" customWidth="1"/>
    <col min="1808" max="1808" width="25.7109375" customWidth="1"/>
    <col min="2052" max="2052" width="16.42578125" customWidth="1"/>
    <col min="2053" max="2053" width="10.42578125" customWidth="1"/>
    <col min="2054" max="2054" width="12.85546875" customWidth="1"/>
    <col min="2055" max="2055" width="13.7109375" customWidth="1"/>
    <col min="2056" max="2056" width="14" customWidth="1"/>
    <col min="2057" max="2057" width="14.28515625" customWidth="1"/>
    <col min="2058" max="2058" width="19.140625" customWidth="1"/>
    <col min="2059" max="2059" width="16.85546875" customWidth="1"/>
    <col min="2060" max="2060" width="16.7109375" customWidth="1"/>
    <col min="2061" max="2062" width="17.85546875" customWidth="1"/>
    <col min="2063" max="2063" width="19.5703125" customWidth="1"/>
    <col min="2064" max="2064" width="25.7109375" customWidth="1"/>
    <col min="2308" max="2308" width="16.42578125" customWidth="1"/>
    <col min="2309" max="2309" width="10.42578125" customWidth="1"/>
    <col min="2310" max="2310" width="12.85546875" customWidth="1"/>
    <col min="2311" max="2311" width="13.7109375" customWidth="1"/>
    <col min="2312" max="2312" width="14" customWidth="1"/>
    <col min="2313" max="2313" width="14.28515625" customWidth="1"/>
    <col min="2314" max="2314" width="19.140625" customWidth="1"/>
    <col min="2315" max="2315" width="16.85546875" customWidth="1"/>
    <col min="2316" max="2316" width="16.7109375" customWidth="1"/>
    <col min="2317" max="2318" width="17.85546875" customWidth="1"/>
    <col min="2319" max="2319" width="19.5703125" customWidth="1"/>
    <col min="2320" max="2320" width="25.7109375" customWidth="1"/>
    <col min="2564" max="2564" width="16.42578125" customWidth="1"/>
    <col min="2565" max="2565" width="10.42578125" customWidth="1"/>
    <col min="2566" max="2566" width="12.85546875" customWidth="1"/>
    <col min="2567" max="2567" width="13.7109375" customWidth="1"/>
    <col min="2568" max="2568" width="14" customWidth="1"/>
    <col min="2569" max="2569" width="14.28515625" customWidth="1"/>
    <col min="2570" max="2570" width="19.140625" customWidth="1"/>
    <col min="2571" max="2571" width="16.85546875" customWidth="1"/>
    <col min="2572" max="2572" width="16.7109375" customWidth="1"/>
    <col min="2573" max="2574" width="17.85546875" customWidth="1"/>
    <col min="2575" max="2575" width="19.5703125" customWidth="1"/>
    <col min="2576" max="2576" width="25.7109375" customWidth="1"/>
    <col min="2820" max="2820" width="16.42578125" customWidth="1"/>
    <col min="2821" max="2821" width="10.42578125" customWidth="1"/>
    <col min="2822" max="2822" width="12.85546875" customWidth="1"/>
    <col min="2823" max="2823" width="13.7109375" customWidth="1"/>
    <col min="2824" max="2824" width="14" customWidth="1"/>
    <col min="2825" max="2825" width="14.28515625" customWidth="1"/>
    <col min="2826" max="2826" width="19.140625" customWidth="1"/>
    <col min="2827" max="2827" width="16.85546875" customWidth="1"/>
    <col min="2828" max="2828" width="16.7109375" customWidth="1"/>
    <col min="2829" max="2830" width="17.85546875" customWidth="1"/>
    <col min="2831" max="2831" width="19.5703125" customWidth="1"/>
    <col min="2832" max="2832" width="25.7109375" customWidth="1"/>
    <col min="3076" max="3076" width="16.42578125" customWidth="1"/>
    <col min="3077" max="3077" width="10.42578125" customWidth="1"/>
    <col min="3078" max="3078" width="12.85546875" customWidth="1"/>
    <col min="3079" max="3079" width="13.7109375" customWidth="1"/>
    <col min="3080" max="3080" width="14" customWidth="1"/>
    <col min="3081" max="3081" width="14.28515625" customWidth="1"/>
    <col min="3082" max="3082" width="19.140625" customWidth="1"/>
    <col min="3083" max="3083" width="16.85546875" customWidth="1"/>
    <col min="3084" max="3084" width="16.7109375" customWidth="1"/>
    <col min="3085" max="3086" width="17.85546875" customWidth="1"/>
    <col min="3087" max="3087" width="19.5703125" customWidth="1"/>
    <col min="3088" max="3088" width="25.7109375" customWidth="1"/>
    <col min="3332" max="3332" width="16.42578125" customWidth="1"/>
    <col min="3333" max="3333" width="10.42578125" customWidth="1"/>
    <col min="3334" max="3334" width="12.85546875" customWidth="1"/>
    <col min="3335" max="3335" width="13.7109375" customWidth="1"/>
    <col min="3336" max="3336" width="14" customWidth="1"/>
    <col min="3337" max="3337" width="14.28515625" customWidth="1"/>
    <col min="3338" max="3338" width="19.140625" customWidth="1"/>
    <col min="3339" max="3339" width="16.85546875" customWidth="1"/>
    <col min="3340" max="3340" width="16.7109375" customWidth="1"/>
    <col min="3341" max="3342" width="17.85546875" customWidth="1"/>
    <col min="3343" max="3343" width="19.5703125" customWidth="1"/>
    <col min="3344" max="3344" width="25.7109375" customWidth="1"/>
    <col min="3588" max="3588" width="16.42578125" customWidth="1"/>
    <col min="3589" max="3589" width="10.42578125" customWidth="1"/>
    <col min="3590" max="3590" width="12.85546875" customWidth="1"/>
    <col min="3591" max="3591" width="13.7109375" customWidth="1"/>
    <col min="3592" max="3592" width="14" customWidth="1"/>
    <col min="3593" max="3593" width="14.28515625" customWidth="1"/>
    <col min="3594" max="3594" width="19.140625" customWidth="1"/>
    <col min="3595" max="3595" width="16.85546875" customWidth="1"/>
    <col min="3596" max="3596" width="16.7109375" customWidth="1"/>
    <col min="3597" max="3598" width="17.85546875" customWidth="1"/>
    <col min="3599" max="3599" width="19.5703125" customWidth="1"/>
    <col min="3600" max="3600" width="25.7109375" customWidth="1"/>
    <col min="3844" max="3844" width="16.42578125" customWidth="1"/>
    <col min="3845" max="3845" width="10.42578125" customWidth="1"/>
    <col min="3846" max="3846" width="12.85546875" customWidth="1"/>
    <col min="3847" max="3847" width="13.7109375" customWidth="1"/>
    <col min="3848" max="3848" width="14" customWidth="1"/>
    <col min="3849" max="3849" width="14.28515625" customWidth="1"/>
    <col min="3850" max="3850" width="19.140625" customWidth="1"/>
    <col min="3851" max="3851" width="16.85546875" customWidth="1"/>
    <col min="3852" max="3852" width="16.7109375" customWidth="1"/>
    <col min="3853" max="3854" width="17.85546875" customWidth="1"/>
    <col min="3855" max="3855" width="19.5703125" customWidth="1"/>
    <col min="3856" max="3856" width="25.7109375" customWidth="1"/>
    <col min="4100" max="4100" width="16.42578125" customWidth="1"/>
    <col min="4101" max="4101" width="10.42578125" customWidth="1"/>
    <col min="4102" max="4102" width="12.85546875" customWidth="1"/>
    <col min="4103" max="4103" width="13.7109375" customWidth="1"/>
    <col min="4104" max="4104" width="14" customWidth="1"/>
    <col min="4105" max="4105" width="14.28515625" customWidth="1"/>
    <col min="4106" max="4106" width="19.140625" customWidth="1"/>
    <col min="4107" max="4107" width="16.85546875" customWidth="1"/>
    <col min="4108" max="4108" width="16.7109375" customWidth="1"/>
    <col min="4109" max="4110" width="17.85546875" customWidth="1"/>
    <col min="4111" max="4111" width="19.5703125" customWidth="1"/>
    <col min="4112" max="4112" width="25.7109375" customWidth="1"/>
    <col min="4356" max="4356" width="16.42578125" customWidth="1"/>
    <col min="4357" max="4357" width="10.42578125" customWidth="1"/>
    <col min="4358" max="4358" width="12.85546875" customWidth="1"/>
    <col min="4359" max="4359" width="13.7109375" customWidth="1"/>
    <col min="4360" max="4360" width="14" customWidth="1"/>
    <col min="4361" max="4361" width="14.28515625" customWidth="1"/>
    <col min="4362" max="4362" width="19.140625" customWidth="1"/>
    <col min="4363" max="4363" width="16.85546875" customWidth="1"/>
    <col min="4364" max="4364" width="16.7109375" customWidth="1"/>
    <col min="4365" max="4366" width="17.85546875" customWidth="1"/>
    <col min="4367" max="4367" width="19.5703125" customWidth="1"/>
    <col min="4368" max="4368" width="25.7109375" customWidth="1"/>
    <col min="4612" max="4612" width="16.42578125" customWidth="1"/>
    <col min="4613" max="4613" width="10.42578125" customWidth="1"/>
    <col min="4614" max="4614" width="12.85546875" customWidth="1"/>
    <col min="4615" max="4615" width="13.7109375" customWidth="1"/>
    <col min="4616" max="4616" width="14" customWidth="1"/>
    <col min="4617" max="4617" width="14.28515625" customWidth="1"/>
    <col min="4618" max="4618" width="19.140625" customWidth="1"/>
    <col min="4619" max="4619" width="16.85546875" customWidth="1"/>
    <col min="4620" max="4620" width="16.7109375" customWidth="1"/>
    <col min="4621" max="4622" width="17.85546875" customWidth="1"/>
    <col min="4623" max="4623" width="19.5703125" customWidth="1"/>
    <col min="4624" max="4624" width="25.7109375" customWidth="1"/>
    <col min="4868" max="4868" width="16.42578125" customWidth="1"/>
    <col min="4869" max="4869" width="10.42578125" customWidth="1"/>
    <col min="4870" max="4870" width="12.85546875" customWidth="1"/>
    <col min="4871" max="4871" width="13.7109375" customWidth="1"/>
    <col min="4872" max="4872" width="14" customWidth="1"/>
    <col min="4873" max="4873" width="14.28515625" customWidth="1"/>
    <col min="4874" max="4874" width="19.140625" customWidth="1"/>
    <col min="4875" max="4875" width="16.85546875" customWidth="1"/>
    <col min="4876" max="4876" width="16.7109375" customWidth="1"/>
    <col min="4877" max="4878" width="17.85546875" customWidth="1"/>
    <col min="4879" max="4879" width="19.5703125" customWidth="1"/>
    <col min="4880" max="4880" width="25.7109375" customWidth="1"/>
    <col min="5124" max="5124" width="16.42578125" customWidth="1"/>
    <col min="5125" max="5125" width="10.42578125" customWidth="1"/>
    <col min="5126" max="5126" width="12.85546875" customWidth="1"/>
    <col min="5127" max="5127" width="13.7109375" customWidth="1"/>
    <col min="5128" max="5128" width="14" customWidth="1"/>
    <col min="5129" max="5129" width="14.28515625" customWidth="1"/>
    <col min="5130" max="5130" width="19.140625" customWidth="1"/>
    <col min="5131" max="5131" width="16.85546875" customWidth="1"/>
    <col min="5132" max="5132" width="16.7109375" customWidth="1"/>
    <col min="5133" max="5134" width="17.85546875" customWidth="1"/>
    <col min="5135" max="5135" width="19.5703125" customWidth="1"/>
    <col min="5136" max="5136" width="25.7109375" customWidth="1"/>
    <col min="5380" max="5380" width="16.42578125" customWidth="1"/>
    <col min="5381" max="5381" width="10.42578125" customWidth="1"/>
    <col min="5382" max="5382" width="12.85546875" customWidth="1"/>
    <col min="5383" max="5383" width="13.7109375" customWidth="1"/>
    <col min="5384" max="5384" width="14" customWidth="1"/>
    <col min="5385" max="5385" width="14.28515625" customWidth="1"/>
    <col min="5386" max="5386" width="19.140625" customWidth="1"/>
    <col min="5387" max="5387" width="16.85546875" customWidth="1"/>
    <col min="5388" max="5388" width="16.7109375" customWidth="1"/>
    <col min="5389" max="5390" width="17.85546875" customWidth="1"/>
    <col min="5391" max="5391" width="19.5703125" customWidth="1"/>
    <col min="5392" max="5392" width="25.7109375" customWidth="1"/>
    <col min="5636" max="5636" width="16.42578125" customWidth="1"/>
    <col min="5637" max="5637" width="10.42578125" customWidth="1"/>
    <col min="5638" max="5638" width="12.85546875" customWidth="1"/>
    <col min="5639" max="5639" width="13.7109375" customWidth="1"/>
    <col min="5640" max="5640" width="14" customWidth="1"/>
    <col min="5641" max="5641" width="14.28515625" customWidth="1"/>
    <col min="5642" max="5642" width="19.140625" customWidth="1"/>
    <col min="5643" max="5643" width="16.85546875" customWidth="1"/>
    <col min="5644" max="5644" width="16.7109375" customWidth="1"/>
    <col min="5645" max="5646" width="17.85546875" customWidth="1"/>
    <col min="5647" max="5647" width="19.5703125" customWidth="1"/>
    <col min="5648" max="5648" width="25.7109375" customWidth="1"/>
    <col min="5892" max="5892" width="16.42578125" customWidth="1"/>
    <col min="5893" max="5893" width="10.42578125" customWidth="1"/>
    <col min="5894" max="5894" width="12.85546875" customWidth="1"/>
    <col min="5895" max="5895" width="13.7109375" customWidth="1"/>
    <col min="5896" max="5896" width="14" customWidth="1"/>
    <col min="5897" max="5897" width="14.28515625" customWidth="1"/>
    <col min="5898" max="5898" width="19.140625" customWidth="1"/>
    <col min="5899" max="5899" width="16.85546875" customWidth="1"/>
    <col min="5900" max="5900" width="16.7109375" customWidth="1"/>
    <col min="5901" max="5902" width="17.85546875" customWidth="1"/>
    <col min="5903" max="5903" width="19.5703125" customWidth="1"/>
    <col min="5904" max="5904" width="25.7109375" customWidth="1"/>
    <col min="6148" max="6148" width="16.42578125" customWidth="1"/>
    <col min="6149" max="6149" width="10.42578125" customWidth="1"/>
    <col min="6150" max="6150" width="12.85546875" customWidth="1"/>
    <col min="6151" max="6151" width="13.7109375" customWidth="1"/>
    <col min="6152" max="6152" width="14" customWidth="1"/>
    <col min="6153" max="6153" width="14.28515625" customWidth="1"/>
    <col min="6154" max="6154" width="19.140625" customWidth="1"/>
    <col min="6155" max="6155" width="16.85546875" customWidth="1"/>
    <col min="6156" max="6156" width="16.7109375" customWidth="1"/>
    <col min="6157" max="6158" width="17.85546875" customWidth="1"/>
    <col min="6159" max="6159" width="19.5703125" customWidth="1"/>
    <col min="6160" max="6160" width="25.7109375" customWidth="1"/>
    <col min="6404" max="6404" width="16.42578125" customWidth="1"/>
    <col min="6405" max="6405" width="10.42578125" customWidth="1"/>
    <col min="6406" max="6406" width="12.85546875" customWidth="1"/>
    <col min="6407" max="6407" width="13.7109375" customWidth="1"/>
    <col min="6408" max="6408" width="14" customWidth="1"/>
    <col min="6409" max="6409" width="14.28515625" customWidth="1"/>
    <col min="6410" max="6410" width="19.140625" customWidth="1"/>
    <col min="6411" max="6411" width="16.85546875" customWidth="1"/>
    <col min="6412" max="6412" width="16.7109375" customWidth="1"/>
    <col min="6413" max="6414" width="17.85546875" customWidth="1"/>
    <col min="6415" max="6415" width="19.5703125" customWidth="1"/>
    <col min="6416" max="6416" width="25.7109375" customWidth="1"/>
    <col min="6660" max="6660" width="16.42578125" customWidth="1"/>
    <col min="6661" max="6661" width="10.42578125" customWidth="1"/>
    <col min="6662" max="6662" width="12.85546875" customWidth="1"/>
    <col min="6663" max="6663" width="13.7109375" customWidth="1"/>
    <col min="6664" max="6664" width="14" customWidth="1"/>
    <col min="6665" max="6665" width="14.28515625" customWidth="1"/>
    <col min="6666" max="6666" width="19.140625" customWidth="1"/>
    <col min="6667" max="6667" width="16.85546875" customWidth="1"/>
    <col min="6668" max="6668" width="16.7109375" customWidth="1"/>
    <col min="6669" max="6670" width="17.85546875" customWidth="1"/>
    <col min="6671" max="6671" width="19.5703125" customWidth="1"/>
    <col min="6672" max="6672" width="25.7109375" customWidth="1"/>
    <col min="6916" max="6916" width="16.42578125" customWidth="1"/>
    <col min="6917" max="6917" width="10.42578125" customWidth="1"/>
    <col min="6918" max="6918" width="12.85546875" customWidth="1"/>
    <col min="6919" max="6919" width="13.7109375" customWidth="1"/>
    <col min="6920" max="6920" width="14" customWidth="1"/>
    <col min="6921" max="6921" width="14.28515625" customWidth="1"/>
    <col min="6922" max="6922" width="19.140625" customWidth="1"/>
    <col min="6923" max="6923" width="16.85546875" customWidth="1"/>
    <col min="6924" max="6924" width="16.7109375" customWidth="1"/>
    <col min="6925" max="6926" width="17.85546875" customWidth="1"/>
    <col min="6927" max="6927" width="19.5703125" customWidth="1"/>
    <col min="6928" max="6928" width="25.7109375" customWidth="1"/>
    <col min="7172" max="7172" width="16.42578125" customWidth="1"/>
    <col min="7173" max="7173" width="10.42578125" customWidth="1"/>
    <col min="7174" max="7174" width="12.85546875" customWidth="1"/>
    <col min="7175" max="7175" width="13.7109375" customWidth="1"/>
    <col min="7176" max="7176" width="14" customWidth="1"/>
    <col min="7177" max="7177" width="14.28515625" customWidth="1"/>
    <col min="7178" max="7178" width="19.140625" customWidth="1"/>
    <col min="7179" max="7179" width="16.85546875" customWidth="1"/>
    <col min="7180" max="7180" width="16.7109375" customWidth="1"/>
    <col min="7181" max="7182" width="17.85546875" customWidth="1"/>
    <col min="7183" max="7183" width="19.5703125" customWidth="1"/>
    <col min="7184" max="7184" width="25.7109375" customWidth="1"/>
    <col min="7428" max="7428" width="16.42578125" customWidth="1"/>
    <col min="7429" max="7429" width="10.42578125" customWidth="1"/>
    <col min="7430" max="7430" width="12.85546875" customWidth="1"/>
    <col min="7431" max="7431" width="13.7109375" customWidth="1"/>
    <col min="7432" max="7432" width="14" customWidth="1"/>
    <col min="7433" max="7433" width="14.28515625" customWidth="1"/>
    <col min="7434" max="7434" width="19.140625" customWidth="1"/>
    <col min="7435" max="7435" width="16.85546875" customWidth="1"/>
    <col min="7436" max="7436" width="16.7109375" customWidth="1"/>
    <col min="7437" max="7438" width="17.85546875" customWidth="1"/>
    <col min="7439" max="7439" width="19.5703125" customWidth="1"/>
    <col min="7440" max="7440" width="25.7109375" customWidth="1"/>
    <col min="7684" max="7684" width="16.42578125" customWidth="1"/>
    <col min="7685" max="7685" width="10.42578125" customWidth="1"/>
    <col min="7686" max="7686" width="12.85546875" customWidth="1"/>
    <col min="7687" max="7687" width="13.7109375" customWidth="1"/>
    <col min="7688" max="7688" width="14" customWidth="1"/>
    <col min="7689" max="7689" width="14.28515625" customWidth="1"/>
    <col min="7690" max="7690" width="19.140625" customWidth="1"/>
    <col min="7691" max="7691" width="16.85546875" customWidth="1"/>
    <col min="7692" max="7692" width="16.7109375" customWidth="1"/>
    <col min="7693" max="7694" width="17.85546875" customWidth="1"/>
    <col min="7695" max="7695" width="19.5703125" customWidth="1"/>
    <col min="7696" max="7696" width="25.7109375" customWidth="1"/>
    <col min="7940" max="7940" width="16.42578125" customWidth="1"/>
    <col min="7941" max="7941" width="10.42578125" customWidth="1"/>
    <col min="7942" max="7942" width="12.85546875" customWidth="1"/>
    <col min="7943" max="7943" width="13.7109375" customWidth="1"/>
    <col min="7944" max="7944" width="14" customWidth="1"/>
    <col min="7945" max="7945" width="14.28515625" customWidth="1"/>
    <col min="7946" max="7946" width="19.140625" customWidth="1"/>
    <col min="7947" max="7947" width="16.85546875" customWidth="1"/>
    <col min="7948" max="7948" width="16.7109375" customWidth="1"/>
    <col min="7949" max="7950" width="17.85546875" customWidth="1"/>
    <col min="7951" max="7951" width="19.5703125" customWidth="1"/>
    <col min="7952" max="7952" width="25.7109375" customWidth="1"/>
    <col min="8196" max="8196" width="16.42578125" customWidth="1"/>
    <col min="8197" max="8197" width="10.42578125" customWidth="1"/>
    <col min="8198" max="8198" width="12.85546875" customWidth="1"/>
    <col min="8199" max="8199" width="13.7109375" customWidth="1"/>
    <col min="8200" max="8200" width="14" customWidth="1"/>
    <col min="8201" max="8201" width="14.28515625" customWidth="1"/>
    <col min="8202" max="8202" width="19.140625" customWidth="1"/>
    <col min="8203" max="8203" width="16.85546875" customWidth="1"/>
    <col min="8204" max="8204" width="16.7109375" customWidth="1"/>
    <col min="8205" max="8206" width="17.85546875" customWidth="1"/>
    <col min="8207" max="8207" width="19.5703125" customWidth="1"/>
    <col min="8208" max="8208" width="25.7109375" customWidth="1"/>
    <col min="8452" max="8452" width="16.42578125" customWidth="1"/>
    <col min="8453" max="8453" width="10.42578125" customWidth="1"/>
    <col min="8454" max="8454" width="12.85546875" customWidth="1"/>
    <col min="8455" max="8455" width="13.7109375" customWidth="1"/>
    <col min="8456" max="8456" width="14" customWidth="1"/>
    <col min="8457" max="8457" width="14.28515625" customWidth="1"/>
    <col min="8458" max="8458" width="19.140625" customWidth="1"/>
    <col min="8459" max="8459" width="16.85546875" customWidth="1"/>
    <col min="8460" max="8460" width="16.7109375" customWidth="1"/>
    <col min="8461" max="8462" width="17.85546875" customWidth="1"/>
    <col min="8463" max="8463" width="19.5703125" customWidth="1"/>
    <col min="8464" max="8464" width="25.7109375" customWidth="1"/>
    <col min="8708" max="8708" width="16.42578125" customWidth="1"/>
    <col min="8709" max="8709" width="10.42578125" customWidth="1"/>
    <col min="8710" max="8710" width="12.85546875" customWidth="1"/>
    <col min="8711" max="8711" width="13.7109375" customWidth="1"/>
    <col min="8712" max="8712" width="14" customWidth="1"/>
    <col min="8713" max="8713" width="14.28515625" customWidth="1"/>
    <col min="8714" max="8714" width="19.140625" customWidth="1"/>
    <col min="8715" max="8715" width="16.85546875" customWidth="1"/>
    <col min="8716" max="8716" width="16.7109375" customWidth="1"/>
    <col min="8717" max="8718" width="17.85546875" customWidth="1"/>
    <col min="8719" max="8719" width="19.5703125" customWidth="1"/>
    <col min="8720" max="8720" width="25.7109375" customWidth="1"/>
    <col min="8964" max="8964" width="16.42578125" customWidth="1"/>
    <col min="8965" max="8965" width="10.42578125" customWidth="1"/>
    <col min="8966" max="8966" width="12.85546875" customWidth="1"/>
    <col min="8967" max="8967" width="13.7109375" customWidth="1"/>
    <col min="8968" max="8968" width="14" customWidth="1"/>
    <col min="8969" max="8969" width="14.28515625" customWidth="1"/>
    <col min="8970" max="8970" width="19.140625" customWidth="1"/>
    <col min="8971" max="8971" width="16.85546875" customWidth="1"/>
    <col min="8972" max="8972" width="16.7109375" customWidth="1"/>
    <col min="8973" max="8974" width="17.85546875" customWidth="1"/>
    <col min="8975" max="8975" width="19.5703125" customWidth="1"/>
    <col min="8976" max="8976" width="25.7109375" customWidth="1"/>
    <col min="9220" max="9220" width="16.42578125" customWidth="1"/>
    <col min="9221" max="9221" width="10.42578125" customWidth="1"/>
    <col min="9222" max="9222" width="12.85546875" customWidth="1"/>
    <col min="9223" max="9223" width="13.7109375" customWidth="1"/>
    <col min="9224" max="9224" width="14" customWidth="1"/>
    <col min="9225" max="9225" width="14.28515625" customWidth="1"/>
    <col min="9226" max="9226" width="19.140625" customWidth="1"/>
    <col min="9227" max="9227" width="16.85546875" customWidth="1"/>
    <col min="9228" max="9228" width="16.7109375" customWidth="1"/>
    <col min="9229" max="9230" width="17.85546875" customWidth="1"/>
    <col min="9231" max="9231" width="19.5703125" customWidth="1"/>
    <col min="9232" max="9232" width="25.7109375" customWidth="1"/>
    <col min="9476" max="9476" width="16.42578125" customWidth="1"/>
    <col min="9477" max="9477" width="10.42578125" customWidth="1"/>
    <col min="9478" max="9478" width="12.85546875" customWidth="1"/>
    <col min="9479" max="9479" width="13.7109375" customWidth="1"/>
    <col min="9480" max="9480" width="14" customWidth="1"/>
    <col min="9481" max="9481" width="14.28515625" customWidth="1"/>
    <col min="9482" max="9482" width="19.140625" customWidth="1"/>
    <col min="9483" max="9483" width="16.85546875" customWidth="1"/>
    <col min="9484" max="9484" width="16.7109375" customWidth="1"/>
    <col min="9485" max="9486" width="17.85546875" customWidth="1"/>
    <col min="9487" max="9487" width="19.5703125" customWidth="1"/>
    <col min="9488" max="9488" width="25.7109375" customWidth="1"/>
    <col min="9732" max="9732" width="16.42578125" customWidth="1"/>
    <col min="9733" max="9733" width="10.42578125" customWidth="1"/>
    <col min="9734" max="9734" width="12.85546875" customWidth="1"/>
    <col min="9735" max="9735" width="13.7109375" customWidth="1"/>
    <col min="9736" max="9736" width="14" customWidth="1"/>
    <col min="9737" max="9737" width="14.28515625" customWidth="1"/>
    <col min="9738" max="9738" width="19.140625" customWidth="1"/>
    <col min="9739" max="9739" width="16.85546875" customWidth="1"/>
    <col min="9740" max="9740" width="16.7109375" customWidth="1"/>
    <col min="9741" max="9742" width="17.85546875" customWidth="1"/>
    <col min="9743" max="9743" width="19.5703125" customWidth="1"/>
    <col min="9744" max="9744" width="25.7109375" customWidth="1"/>
    <col min="9988" max="9988" width="16.42578125" customWidth="1"/>
    <col min="9989" max="9989" width="10.42578125" customWidth="1"/>
    <col min="9990" max="9990" width="12.85546875" customWidth="1"/>
    <col min="9991" max="9991" width="13.7109375" customWidth="1"/>
    <col min="9992" max="9992" width="14" customWidth="1"/>
    <col min="9993" max="9993" width="14.28515625" customWidth="1"/>
    <col min="9994" max="9994" width="19.140625" customWidth="1"/>
    <col min="9995" max="9995" width="16.85546875" customWidth="1"/>
    <col min="9996" max="9996" width="16.7109375" customWidth="1"/>
    <col min="9997" max="9998" width="17.85546875" customWidth="1"/>
    <col min="9999" max="9999" width="19.5703125" customWidth="1"/>
    <col min="10000" max="10000" width="25.7109375" customWidth="1"/>
    <col min="10244" max="10244" width="16.42578125" customWidth="1"/>
    <col min="10245" max="10245" width="10.42578125" customWidth="1"/>
    <col min="10246" max="10246" width="12.85546875" customWidth="1"/>
    <col min="10247" max="10247" width="13.7109375" customWidth="1"/>
    <col min="10248" max="10248" width="14" customWidth="1"/>
    <col min="10249" max="10249" width="14.28515625" customWidth="1"/>
    <col min="10250" max="10250" width="19.140625" customWidth="1"/>
    <col min="10251" max="10251" width="16.85546875" customWidth="1"/>
    <col min="10252" max="10252" width="16.7109375" customWidth="1"/>
    <col min="10253" max="10254" width="17.85546875" customWidth="1"/>
    <col min="10255" max="10255" width="19.5703125" customWidth="1"/>
    <col min="10256" max="10256" width="25.7109375" customWidth="1"/>
    <col min="10500" max="10500" width="16.42578125" customWidth="1"/>
    <col min="10501" max="10501" width="10.42578125" customWidth="1"/>
    <col min="10502" max="10502" width="12.85546875" customWidth="1"/>
    <col min="10503" max="10503" width="13.7109375" customWidth="1"/>
    <col min="10504" max="10504" width="14" customWidth="1"/>
    <col min="10505" max="10505" width="14.28515625" customWidth="1"/>
    <col min="10506" max="10506" width="19.140625" customWidth="1"/>
    <col min="10507" max="10507" width="16.85546875" customWidth="1"/>
    <col min="10508" max="10508" width="16.7109375" customWidth="1"/>
    <col min="10509" max="10510" width="17.85546875" customWidth="1"/>
    <col min="10511" max="10511" width="19.5703125" customWidth="1"/>
    <col min="10512" max="10512" width="25.7109375" customWidth="1"/>
    <col min="10756" max="10756" width="16.42578125" customWidth="1"/>
    <col min="10757" max="10757" width="10.42578125" customWidth="1"/>
    <col min="10758" max="10758" width="12.85546875" customWidth="1"/>
    <col min="10759" max="10759" width="13.7109375" customWidth="1"/>
    <col min="10760" max="10760" width="14" customWidth="1"/>
    <col min="10761" max="10761" width="14.28515625" customWidth="1"/>
    <col min="10762" max="10762" width="19.140625" customWidth="1"/>
    <col min="10763" max="10763" width="16.85546875" customWidth="1"/>
    <col min="10764" max="10764" width="16.7109375" customWidth="1"/>
    <col min="10765" max="10766" width="17.85546875" customWidth="1"/>
    <col min="10767" max="10767" width="19.5703125" customWidth="1"/>
    <col min="10768" max="10768" width="25.7109375" customWidth="1"/>
    <col min="11012" max="11012" width="16.42578125" customWidth="1"/>
    <col min="11013" max="11013" width="10.42578125" customWidth="1"/>
    <col min="11014" max="11014" width="12.85546875" customWidth="1"/>
    <col min="11015" max="11015" width="13.7109375" customWidth="1"/>
    <col min="11016" max="11016" width="14" customWidth="1"/>
    <col min="11017" max="11017" width="14.28515625" customWidth="1"/>
    <col min="11018" max="11018" width="19.140625" customWidth="1"/>
    <col min="11019" max="11019" width="16.85546875" customWidth="1"/>
    <col min="11020" max="11020" width="16.7109375" customWidth="1"/>
    <col min="11021" max="11022" width="17.85546875" customWidth="1"/>
    <col min="11023" max="11023" width="19.5703125" customWidth="1"/>
    <col min="11024" max="11024" width="25.7109375" customWidth="1"/>
    <col min="11268" max="11268" width="16.42578125" customWidth="1"/>
    <col min="11269" max="11269" width="10.42578125" customWidth="1"/>
    <col min="11270" max="11270" width="12.85546875" customWidth="1"/>
    <col min="11271" max="11271" width="13.7109375" customWidth="1"/>
    <col min="11272" max="11272" width="14" customWidth="1"/>
    <col min="11273" max="11273" width="14.28515625" customWidth="1"/>
    <col min="11274" max="11274" width="19.140625" customWidth="1"/>
    <col min="11275" max="11275" width="16.85546875" customWidth="1"/>
    <col min="11276" max="11276" width="16.7109375" customWidth="1"/>
    <col min="11277" max="11278" width="17.85546875" customWidth="1"/>
    <col min="11279" max="11279" width="19.5703125" customWidth="1"/>
    <col min="11280" max="11280" width="25.7109375" customWidth="1"/>
    <col min="11524" max="11524" width="16.42578125" customWidth="1"/>
    <col min="11525" max="11525" width="10.42578125" customWidth="1"/>
    <col min="11526" max="11526" width="12.85546875" customWidth="1"/>
    <col min="11527" max="11527" width="13.7109375" customWidth="1"/>
    <col min="11528" max="11528" width="14" customWidth="1"/>
    <col min="11529" max="11529" width="14.28515625" customWidth="1"/>
    <col min="11530" max="11530" width="19.140625" customWidth="1"/>
    <col min="11531" max="11531" width="16.85546875" customWidth="1"/>
    <col min="11532" max="11532" width="16.7109375" customWidth="1"/>
    <col min="11533" max="11534" width="17.85546875" customWidth="1"/>
    <col min="11535" max="11535" width="19.5703125" customWidth="1"/>
    <col min="11536" max="11536" width="25.7109375" customWidth="1"/>
    <col min="11780" max="11780" width="16.42578125" customWidth="1"/>
    <col min="11781" max="11781" width="10.42578125" customWidth="1"/>
    <col min="11782" max="11782" width="12.85546875" customWidth="1"/>
    <col min="11783" max="11783" width="13.7109375" customWidth="1"/>
    <col min="11784" max="11784" width="14" customWidth="1"/>
    <col min="11785" max="11785" width="14.28515625" customWidth="1"/>
    <col min="11786" max="11786" width="19.140625" customWidth="1"/>
    <col min="11787" max="11787" width="16.85546875" customWidth="1"/>
    <col min="11788" max="11788" width="16.7109375" customWidth="1"/>
    <col min="11789" max="11790" width="17.85546875" customWidth="1"/>
    <col min="11791" max="11791" width="19.5703125" customWidth="1"/>
    <col min="11792" max="11792" width="25.7109375" customWidth="1"/>
    <col min="12036" max="12036" width="16.42578125" customWidth="1"/>
    <col min="12037" max="12037" width="10.42578125" customWidth="1"/>
    <col min="12038" max="12038" width="12.85546875" customWidth="1"/>
    <col min="12039" max="12039" width="13.7109375" customWidth="1"/>
    <col min="12040" max="12040" width="14" customWidth="1"/>
    <col min="12041" max="12041" width="14.28515625" customWidth="1"/>
    <col min="12042" max="12042" width="19.140625" customWidth="1"/>
    <col min="12043" max="12043" width="16.85546875" customWidth="1"/>
    <col min="12044" max="12044" width="16.7109375" customWidth="1"/>
    <col min="12045" max="12046" width="17.85546875" customWidth="1"/>
    <col min="12047" max="12047" width="19.5703125" customWidth="1"/>
    <col min="12048" max="12048" width="25.7109375" customWidth="1"/>
    <col min="12292" max="12292" width="16.42578125" customWidth="1"/>
    <col min="12293" max="12293" width="10.42578125" customWidth="1"/>
    <col min="12294" max="12294" width="12.85546875" customWidth="1"/>
    <col min="12295" max="12295" width="13.7109375" customWidth="1"/>
    <col min="12296" max="12296" width="14" customWidth="1"/>
    <col min="12297" max="12297" width="14.28515625" customWidth="1"/>
    <col min="12298" max="12298" width="19.140625" customWidth="1"/>
    <col min="12299" max="12299" width="16.85546875" customWidth="1"/>
    <col min="12300" max="12300" width="16.7109375" customWidth="1"/>
    <col min="12301" max="12302" width="17.85546875" customWidth="1"/>
    <col min="12303" max="12303" width="19.5703125" customWidth="1"/>
    <col min="12304" max="12304" width="25.7109375" customWidth="1"/>
    <col min="12548" max="12548" width="16.42578125" customWidth="1"/>
    <col min="12549" max="12549" width="10.42578125" customWidth="1"/>
    <col min="12550" max="12550" width="12.85546875" customWidth="1"/>
    <col min="12551" max="12551" width="13.7109375" customWidth="1"/>
    <col min="12552" max="12552" width="14" customWidth="1"/>
    <col min="12553" max="12553" width="14.28515625" customWidth="1"/>
    <col min="12554" max="12554" width="19.140625" customWidth="1"/>
    <col min="12555" max="12555" width="16.85546875" customWidth="1"/>
    <col min="12556" max="12556" width="16.7109375" customWidth="1"/>
    <col min="12557" max="12558" width="17.85546875" customWidth="1"/>
    <col min="12559" max="12559" width="19.5703125" customWidth="1"/>
    <col min="12560" max="12560" width="25.7109375" customWidth="1"/>
    <col min="12804" max="12804" width="16.42578125" customWidth="1"/>
    <col min="12805" max="12805" width="10.42578125" customWidth="1"/>
    <col min="12806" max="12806" width="12.85546875" customWidth="1"/>
    <col min="12807" max="12807" width="13.7109375" customWidth="1"/>
    <col min="12808" max="12808" width="14" customWidth="1"/>
    <col min="12809" max="12809" width="14.28515625" customWidth="1"/>
    <col min="12810" max="12810" width="19.140625" customWidth="1"/>
    <col min="12811" max="12811" width="16.85546875" customWidth="1"/>
    <col min="12812" max="12812" width="16.7109375" customWidth="1"/>
    <col min="12813" max="12814" width="17.85546875" customWidth="1"/>
    <col min="12815" max="12815" width="19.5703125" customWidth="1"/>
    <col min="12816" max="12816" width="25.7109375" customWidth="1"/>
    <col min="13060" max="13060" width="16.42578125" customWidth="1"/>
    <col min="13061" max="13061" width="10.42578125" customWidth="1"/>
    <col min="13062" max="13062" width="12.85546875" customWidth="1"/>
    <col min="13063" max="13063" width="13.7109375" customWidth="1"/>
    <col min="13064" max="13064" width="14" customWidth="1"/>
    <col min="13065" max="13065" width="14.28515625" customWidth="1"/>
    <col min="13066" max="13066" width="19.140625" customWidth="1"/>
    <col min="13067" max="13067" width="16.85546875" customWidth="1"/>
    <col min="13068" max="13068" width="16.7109375" customWidth="1"/>
    <col min="13069" max="13070" width="17.85546875" customWidth="1"/>
    <col min="13071" max="13071" width="19.5703125" customWidth="1"/>
    <col min="13072" max="13072" width="25.7109375" customWidth="1"/>
    <col min="13316" max="13316" width="16.42578125" customWidth="1"/>
    <col min="13317" max="13317" width="10.42578125" customWidth="1"/>
    <col min="13318" max="13318" width="12.85546875" customWidth="1"/>
    <col min="13319" max="13319" width="13.7109375" customWidth="1"/>
    <col min="13320" max="13320" width="14" customWidth="1"/>
    <col min="13321" max="13321" width="14.28515625" customWidth="1"/>
    <col min="13322" max="13322" width="19.140625" customWidth="1"/>
    <col min="13323" max="13323" width="16.85546875" customWidth="1"/>
    <col min="13324" max="13324" width="16.7109375" customWidth="1"/>
    <col min="13325" max="13326" width="17.85546875" customWidth="1"/>
    <col min="13327" max="13327" width="19.5703125" customWidth="1"/>
    <col min="13328" max="13328" width="25.7109375" customWidth="1"/>
    <col min="13572" max="13572" width="16.42578125" customWidth="1"/>
    <col min="13573" max="13573" width="10.42578125" customWidth="1"/>
    <col min="13574" max="13574" width="12.85546875" customWidth="1"/>
    <col min="13575" max="13575" width="13.7109375" customWidth="1"/>
    <col min="13576" max="13576" width="14" customWidth="1"/>
    <col min="13577" max="13577" width="14.28515625" customWidth="1"/>
    <col min="13578" max="13578" width="19.140625" customWidth="1"/>
    <col min="13579" max="13579" width="16.85546875" customWidth="1"/>
    <col min="13580" max="13580" width="16.7109375" customWidth="1"/>
    <col min="13581" max="13582" width="17.85546875" customWidth="1"/>
    <col min="13583" max="13583" width="19.5703125" customWidth="1"/>
    <col min="13584" max="13584" width="25.7109375" customWidth="1"/>
    <col min="13828" max="13828" width="16.42578125" customWidth="1"/>
    <col min="13829" max="13829" width="10.42578125" customWidth="1"/>
    <col min="13830" max="13830" width="12.85546875" customWidth="1"/>
    <col min="13831" max="13831" width="13.7109375" customWidth="1"/>
    <col min="13832" max="13832" width="14" customWidth="1"/>
    <col min="13833" max="13833" width="14.28515625" customWidth="1"/>
    <col min="13834" max="13834" width="19.140625" customWidth="1"/>
    <col min="13835" max="13835" width="16.85546875" customWidth="1"/>
    <col min="13836" max="13836" width="16.7109375" customWidth="1"/>
    <col min="13837" max="13838" width="17.85546875" customWidth="1"/>
    <col min="13839" max="13839" width="19.5703125" customWidth="1"/>
    <col min="13840" max="13840" width="25.7109375" customWidth="1"/>
    <col min="14084" max="14084" width="16.42578125" customWidth="1"/>
    <col min="14085" max="14085" width="10.42578125" customWidth="1"/>
    <col min="14086" max="14086" width="12.85546875" customWidth="1"/>
    <col min="14087" max="14087" width="13.7109375" customWidth="1"/>
    <col min="14088" max="14088" width="14" customWidth="1"/>
    <col min="14089" max="14089" width="14.28515625" customWidth="1"/>
    <col min="14090" max="14090" width="19.140625" customWidth="1"/>
    <col min="14091" max="14091" width="16.85546875" customWidth="1"/>
    <col min="14092" max="14092" width="16.7109375" customWidth="1"/>
    <col min="14093" max="14094" width="17.85546875" customWidth="1"/>
    <col min="14095" max="14095" width="19.5703125" customWidth="1"/>
    <col min="14096" max="14096" width="25.7109375" customWidth="1"/>
    <col min="14340" max="14340" width="16.42578125" customWidth="1"/>
    <col min="14341" max="14341" width="10.42578125" customWidth="1"/>
    <col min="14342" max="14342" width="12.85546875" customWidth="1"/>
    <col min="14343" max="14343" width="13.7109375" customWidth="1"/>
    <col min="14344" max="14344" width="14" customWidth="1"/>
    <col min="14345" max="14345" width="14.28515625" customWidth="1"/>
    <col min="14346" max="14346" width="19.140625" customWidth="1"/>
    <col min="14347" max="14347" width="16.85546875" customWidth="1"/>
    <col min="14348" max="14348" width="16.7109375" customWidth="1"/>
    <col min="14349" max="14350" width="17.85546875" customWidth="1"/>
    <col min="14351" max="14351" width="19.5703125" customWidth="1"/>
    <col min="14352" max="14352" width="25.7109375" customWidth="1"/>
    <col min="14596" max="14596" width="16.42578125" customWidth="1"/>
    <col min="14597" max="14597" width="10.42578125" customWidth="1"/>
    <col min="14598" max="14598" width="12.85546875" customWidth="1"/>
    <col min="14599" max="14599" width="13.7109375" customWidth="1"/>
    <col min="14600" max="14600" width="14" customWidth="1"/>
    <col min="14601" max="14601" width="14.28515625" customWidth="1"/>
    <col min="14602" max="14602" width="19.140625" customWidth="1"/>
    <col min="14603" max="14603" width="16.85546875" customWidth="1"/>
    <col min="14604" max="14604" width="16.7109375" customWidth="1"/>
    <col min="14605" max="14606" width="17.85546875" customWidth="1"/>
    <col min="14607" max="14607" width="19.5703125" customWidth="1"/>
    <col min="14608" max="14608" width="25.7109375" customWidth="1"/>
    <col min="14852" max="14852" width="16.42578125" customWidth="1"/>
    <col min="14853" max="14853" width="10.42578125" customWidth="1"/>
    <col min="14854" max="14854" width="12.85546875" customWidth="1"/>
    <col min="14855" max="14855" width="13.7109375" customWidth="1"/>
    <col min="14856" max="14856" width="14" customWidth="1"/>
    <col min="14857" max="14857" width="14.28515625" customWidth="1"/>
    <col min="14858" max="14858" width="19.140625" customWidth="1"/>
    <col min="14859" max="14859" width="16.85546875" customWidth="1"/>
    <col min="14860" max="14860" width="16.7109375" customWidth="1"/>
    <col min="14861" max="14862" width="17.85546875" customWidth="1"/>
    <col min="14863" max="14863" width="19.5703125" customWidth="1"/>
    <col min="14864" max="14864" width="25.7109375" customWidth="1"/>
    <col min="15108" max="15108" width="16.42578125" customWidth="1"/>
    <col min="15109" max="15109" width="10.42578125" customWidth="1"/>
    <col min="15110" max="15110" width="12.85546875" customWidth="1"/>
    <col min="15111" max="15111" width="13.7109375" customWidth="1"/>
    <col min="15112" max="15112" width="14" customWidth="1"/>
    <col min="15113" max="15113" width="14.28515625" customWidth="1"/>
    <col min="15114" max="15114" width="19.140625" customWidth="1"/>
    <col min="15115" max="15115" width="16.85546875" customWidth="1"/>
    <col min="15116" max="15116" width="16.7109375" customWidth="1"/>
    <col min="15117" max="15118" width="17.85546875" customWidth="1"/>
    <col min="15119" max="15119" width="19.5703125" customWidth="1"/>
    <col min="15120" max="15120" width="25.7109375" customWidth="1"/>
    <col min="15364" max="15364" width="16.42578125" customWidth="1"/>
    <col min="15365" max="15365" width="10.42578125" customWidth="1"/>
    <col min="15366" max="15366" width="12.85546875" customWidth="1"/>
    <col min="15367" max="15367" width="13.7109375" customWidth="1"/>
    <col min="15368" max="15368" width="14" customWidth="1"/>
    <col min="15369" max="15369" width="14.28515625" customWidth="1"/>
    <col min="15370" max="15370" width="19.140625" customWidth="1"/>
    <col min="15371" max="15371" width="16.85546875" customWidth="1"/>
    <col min="15372" max="15372" width="16.7109375" customWidth="1"/>
    <col min="15373" max="15374" width="17.85546875" customWidth="1"/>
    <col min="15375" max="15375" width="19.5703125" customWidth="1"/>
    <col min="15376" max="15376" width="25.7109375" customWidth="1"/>
    <col min="15620" max="15620" width="16.42578125" customWidth="1"/>
    <col min="15621" max="15621" width="10.42578125" customWidth="1"/>
    <col min="15622" max="15622" width="12.85546875" customWidth="1"/>
    <col min="15623" max="15623" width="13.7109375" customWidth="1"/>
    <col min="15624" max="15624" width="14" customWidth="1"/>
    <col min="15625" max="15625" width="14.28515625" customWidth="1"/>
    <col min="15626" max="15626" width="19.140625" customWidth="1"/>
    <col min="15627" max="15627" width="16.85546875" customWidth="1"/>
    <col min="15628" max="15628" width="16.7109375" customWidth="1"/>
    <col min="15629" max="15630" width="17.85546875" customWidth="1"/>
    <col min="15631" max="15631" width="19.5703125" customWidth="1"/>
    <col min="15632" max="15632" width="25.7109375" customWidth="1"/>
    <col min="15876" max="15876" width="16.42578125" customWidth="1"/>
    <col min="15877" max="15877" width="10.42578125" customWidth="1"/>
    <col min="15878" max="15878" width="12.85546875" customWidth="1"/>
    <col min="15879" max="15879" width="13.7109375" customWidth="1"/>
    <col min="15880" max="15880" width="14" customWidth="1"/>
    <col min="15881" max="15881" width="14.28515625" customWidth="1"/>
    <col min="15882" max="15882" width="19.140625" customWidth="1"/>
    <col min="15883" max="15883" width="16.85546875" customWidth="1"/>
    <col min="15884" max="15884" width="16.7109375" customWidth="1"/>
    <col min="15885" max="15886" width="17.85546875" customWidth="1"/>
    <col min="15887" max="15887" width="19.5703125" customWidth="1"/>
    <col min="15888" max="15888" width="25.7109375" customWidth="1"/>
    <col min="16132" max="16132" width="16.42578125" customWidth="1"/>
    <col min="16133" max="16133" width="10.42578125" customWidth="1"/>
    <col min="16134" max="16134" width="12.85546875" customWidth="1"/>
    <col min="16135" max="16135" width="13.7109375" customWidth="1"/>
    <col min="16136" max="16136" width="14" customWidth="1"/>
    <col min="16137" max="16137" width="14.28515625" customWidth="1"/>
    <col min="16138" max="16138" width="19.140625" customWidth="1"/>
    <col min="16139" max="16139" width="16.85546875" customWidth="1"/>
    <col min="16140" max="16140" width="16.7109375" customWidth="1"/>
    <col min="16141" max="16142" width="17.85546875" customWidth="1"/>
    <col min="16143" max="16143" width="19.5703125" customWidth="1"/>
    <col min="16144" max="16144" width="25.7109375" customWidth="1"/>
  </cols>
  <sheetData>
    <row r="1" spans="1:21" ht="18.75" x14ac:dyDescent="0.25">
      <c r="A1" s="47" t="s">
        <v>25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1"/>
      <c r="R1" s="1"/>
      <c r="S1" s="1"/>
      <c r="T1" s="1"/>
      <c r="U1" s="1"/>
    </row>
    <row r="2" spans="1:21" ht="18.75" x14ac:dyDescent="0.25">
      <c r="A2" s="48" t="s">
        <v>0</v>
      </c>
      <c r="B2" s="48" t="s">
        <v>1</v>
      </c>
      <c r="C2" s="48" t="s">
        <v>2</v>
      </c>
      <c r="D2" s="48" t="s">
        <v>3</v>
      </c>
      <c r="E2" s="50"/>
      <c r="F2" s="50"/>
      <c r="G2" s="50"/>
      <c r="H2" s="50"/>
      <c r="I2" s="51"/>
      <c r="J2" s="52" t="s">
        <v>4</v>
      </c>
      <c r="K2" s="52"/>
      <c r="L2" s="52"/>
      <c r="M2" s="53" t="s">
        <v>5</v>
      </c>
      <c r="N2" s="53"/>
      <c r="O2" s="53"/>
      <c r="P2" s="53"/>
    </row>
    <row r="3" spans="1:21" ht="18.75" customHeight="1" x14ac:dyDescent="0.25">
      <c r="A3" s="48"/>
      <c r="B3" s="48"/>
      <c r="C3" s="48"/>
      <c r="D3" s="48"/>
      <c r="E3" s="54" t="s">
        <v>6</v>
      </c>
      <c r="F3" s="28"/>
      <c r="G3" s="54" t="s">
        <v>7</v>
      </c>
      <c r="H3" s="28"/>
      <c r="I3" s="56" t="s">
        <v>8</v>
      </c>
      <c r="J3" s="58" t="s">
        <v>9</v>
      </c>
      <c r="K3" s="58" t="s">
        <v>10</v>
      </c>
      <c r="L3" s="60" t="s">
        <v>11</v>
      </c>
      <c r="M3" s="61" t="s">
        <v>12</v>
      </c>
      <c r="N3" s="44" t="s">
        <v>13</v>
      </c>
      <c r="O3" s="44" t="s">
        <v>14</v>
      </c>
      <c r="P3" s="44" t="s">
        <v>15</v>
      </c>
    </row>
    <row r="4" spans="1:21" ht="43.5" customHeight="1" x14ac:dyDescent="0.25">
      <c r="A4" s="49"/>
      <c r="B4" s="49"/>
      <c r="C4" s="49"/>
      <c r="D4" s="49"/>
      <c r="E4" s="55"/>
      <c r="F4" s="29"/>
      <c r="G4" s="55"/>
      <c r="H4" s="29"/>
      <c r="I4" s="57"/>
      <c r="J4" s="59"/>
      <c r="K4" s="59"/>
      <c r="L4" s="59"/>
      <c r="M4" s="59"/>
      <c r="N4" s="45"/>
      <c r="O4" s="45"/>
      <c r="P4" s="45"/>
    </row>
    <row r="5" spans="1:21" ht="18.75" x14ac:dyDescent="0.25">
      <c r="A5" s="31">
        <v>1</v>
      </c>
      <c r="B5" s="32" t="s">
        <v>23</v>
      </c>
      <c r="C5" s="40" t="s">
        <v>24</v>
      </c>
      <c r="D5" s="35">
        <v>6000</v>
      </c>
      <c r="E5" s="41">
        <v>285.10000000000002</v>
      </c>
      <c r="F5" s="42"/>
      <c r="G5" s="42">
        <v>337.23</v>
      </c>
      <c r="H5" s="42"/>
      <c r="I5" s="42">
        <v>257.04000000000002</v>
      </c>
      <c r="J5" s="4">
        <f>AVERAGE(E5,G5,I5)</f>
        <v>293.12333333333339</v>
      </c>
      <c r="K5" s="5">
        <f t="shared" ref="K5" si="0">SQRT(((SUM((POWER(E5-J5,2)),(POWER(G5-J5,2)),(POWER(I5-J5,2)))/(3-1))))</f>
        <v>40.692621362273201</v>
      </c>
      <c r="L5" s="43">
        <f t="shared" ref="L5" si="1">K5/J5*100</f>
        <v>13.882423108227432</v>
      </c>
      <c r="M5" s="4">
        <f t="shared" ref="M5" si="2">((D5/3)*(SUM(E5:I5)))</f>
        <v>1758740.0000000002</v>
      </c>
      <c r="N5" s="7">
        <f t="shared" ref="N5" si="3">M5/D5</f>
        <v>293.12333333333339</v>
      </c>
      <c r="O5" s="8">
        <f t="shared" ref="O5" si="4">ROUND(N5,2)</f>
        <v>293.12</v>
      </c>
      <c r="P5" s="9">
        <f t="shared" ref="P5" si="5">SUM(O5*D5)</f>
        <v>1758720</v>
      </c>
    </row>
    <row r="6" spans="1:21" ht="18.75" x14ac:dyDescent="0.25">
      <c r="A6" s="31"/>
      <c r="B6" s="32"/>
      <c r="C6" s="33"/>
      <c r="D6" s="35">
        <f>SUM(D5:D5)</f>
        <v>6000</v>
      </c>
      <c r="E6" s="34"/>
      <c r="F6" s="2"/>
      <c r="G6" s="2"/>
      <c r="H6" s="2"/>
      <c r="I6" s="3"/>
      <c r="J6" s="4"/>
      <c r="K6" s="5"/>
      <c r="L6" s="6"/>
      <c r="M6" s="4"/>
      <c r="N6" s="7"/>
      <c r="O6" s="8"/>
      <c r="P6" s="9"/>
    </row>
    <row r="7" spans="1:21" x14ac:dyDescent="0.25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21" ht="18.75" x14ac:dyDescent="0.3">
      <c r="O8" s="37" t="s">
        <v>16</v>
      </c>
      <c r="P8" s="38">
        <f>SUM(P5:P5)</f>
        <v>1758720</v>
      </c>
    </row>
    <row r="10" spans="1:21" ht="48" customHeight="1" x14ac:dyDescent="0.25">
      <c r="A10" s="64" t="s">
        <v>17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</row>
    <row r="11" spans="1:21" ht="15.75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</row>
    <row r="12" spans="1:21" ht="15.75" customHeight="1" x14ac:dyDescent="0.25">
      <c r="A12" s="10"/>
      <c r="B12" s="63" t="s">
        <v>22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11"/>
      <c r="N12" s="12"/>
      <c r="O12" s="12"/>
      <c r="P12" s="12"/>
    </row>
    <row r="13" spans="1:21" ht="15.75" x14ac:dyDescent="0.25">
      <c r="A13" s="65"/>
      <c r="B13" s="65"/>
      <c r="C13" s="65"/>
      <c r="D13" s="13"/>
      <c r="E13" s="14"/>
      <c r="F13" s="14"/>
      <c r="G13" s="15"/>
      <c r="H13" s="15"/>
      <c r="I13" s="16"/>
      <c r="J13" s="17"/>
      <c r="K13" s="18"/>
      <c r="L13" s="18"/>
      <c r="M13" s="18"/>
      <c r="N13" s="19" t="s">
        <v>18</v>
      </c>
      <c r="O13" s="20" t="s">
        <v>18</v>
      </c>
      <c r="P13" s="21"/>
    </row>
    <row r="14" spans="1:21" ht="16.5" customHeight="1" x14ac:dyDescent="0.25">
      <c r="A14" s="30"/>
      <c r="B14" s="30" t="s">
        <v>19</v>
      </c>
      <c r="C14" s="46" t="s">
        <v>26</v>
      </c>
      <c r="D14" s="46"/>
      <c r="E14" s="46"/>
      <c r="F14" s="46"/>
      <c r="G14" s="46"/>
      <c r="H14" s="46"/>
      <c r="I14" s="46"/>
      <c r="J14" s="17"/>
      <c r="K14" s="18"/>
      <c r="L14" s="18"/>
      <c r="M14" s="18"/>
      <c r="N14" s="19"/>
      <c r="O14" s="20"/>
      <c r="P14" s="21"/>
    </row>
    <row r="15" spans="1:21" ht="15.75" customHeight="1" x14ac:dyDescent="0.25">
      <c r="A15" s="30"/>
      <c r="B15" s="30" t="s">
        <v>20</v>
      </c>
      <c r="C15" s="46" t="s">
        <v>27</v>
      </c>
      <c r="D15" s="46"/>
      <c r="E15" s="46"/>
      <c r="F15" s="46"/>
      <c r="G15" s="46"/>
      <c r="H15" s="46"/>
      <c r="I15" s="46"/>
      <c r="J15" s="17"/>
      <c r="K15" s="18"/>
      <c r="L15" s="18"/>
      <c r="M15" s="18"/>
      <c r="N15" s="19"/>
      <c r="O15" s="20"/>
      <c r="P15" s="21"/>
    </row>
    <row r="16" spans="1:21" ht="15.75" customHeight="1" x14ac:dyDescent="0.25">
      <c r="A16" s="30"/>
      <c r="B16" s="30" t="s">
        <v>21</v>
      </c>
      <c r="C16" s="46" t="s">
        <v>28</v>
      </c>
      <c r="D16" s="46"/>
      <c r="E16" s="46"/>
      <c r="F16" s="46"/>
      <c r="G16" s="46"/>
      <c r="H16" s="46"/>
      <c r="I16" s="46"/>
      <c r="J16" s="17"/>
      <c r="K16" s="18"/>
      <c r="L16" s="18"/>
      <c r="M16" s="18"/>
      <c r="N16" s="19"/>
      <c r="O16" s="20"/>
      <c r="P16" s="21"/>
    </row>
    <row r="17" spans="1:15" x14ac:dyDescent="0.25">
      <c r="A17" s="22"/>
      <c r="B17" s="66"/>
      <c r="C17" s="67"/>
      <c r="D17" s="67"/>
      <c r="E17" s="67"/>
      <c r="F17" s="27"/>
      <c r="G17" s="23"/>
      <c r="H17" s="23"/>
      <c r="I17" s="23"/>
      <c r="J17" s="23"/>
      <c r="K17" s="23"/>
      <c r="L17" s="23"/>
      <c r="M17" s="23"/>
    </row>
    <row r="18" spans="1:15" ht="15.75" x14ac:dyDescent="0.25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</row>
    <row r="19" spans="1:15" ht="15.75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</row>
    <row r="20" spans="1:15" ht="15.75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</row>
    <row r="21" spans="1:15" ht="15.75" x14ac:dyDescent="0.25">
      <c r="A21" s="25"/>
      <c r="B21" s="24"/>
      <c r="C21" s="25"/>
      <c r="D21" s="25"/>
      <c r="E21" s="24"/>
      <c r="F21" s="24"/>
      <c r="G21" s="24"/>
      <c r="H21" s="24"/>
      <c r="I21" s="24"/>
      <c r="J21" s="24"/>
      <c r="K21" s="24"/>
      <c r="L21" s="24"/>
      <c r="M21" s="24"/>
      <c r="N21" s="26"/>
      <c r="O21" s="24"/>
    </row>
  </sheetData>
  <autoFilter ref="A4:U4"/>
  <mergeCells count="26">
    <mergeCell ref="A18:O18"/>
    <mergeCell ref="B12:L12"/>
    <mergeCell ref="A10:P10"/>
    <mergeCell ref="A13:C13"/>
    <mergeCell ref="B17:E17"/>
    <mergeCell ref="C14:I14"/>
    <mergeCell ref="C15:I15"/>
    <mergeCell ref="C16:I16"/>
    <mergeCell ref="I3:I4"/>
    <mergeCell ref="J3:J4"/>
    <mergeCell ref="K3:K4"/>
    <mergeCell ref="L3:L4"/>
    <mergeCell ref="M3:M4"/>
    <mergeCell ref="N3:N4"/>
    <mergeCell ref="A1:P1"/>
    <mergeCell ref="A2:A4"/>
    <mergeCell ref="B2:B4"/>
    <mergeCell ref="C2:C4"/>
    <mergeCell ref="D2:D4"/>
    <mergeCell ref="E2:I2"/>
    <mergeCell ref="J2:L2"/>
    <mergeCell ref="M2:P2"/>
    <mergeCell ref="E3:E4"/>
    <mergeCell ref="G3:G4"/>
    <mergeCell ref="O3:O4"/>
    <mergeCell ref="P3:P4"/>
  </mergeCells>
  <phoneticPr fontId="19" type="noConversion"/>
  <pageMargins left="0.25" right="0.25" top="0.75" bottom="0.75" header="0.3" footer="0.3"/>
  <pageSetup paperSize="9" scale="51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Макарова Наталья Александровна</dc:creator>
  <cp:lastModifiedBy>Золотова Александра Николаевна</cp:lastModifiedBy>
  <cp:lastPrinted>2025-03-14T12:06:48Z</cp:lastPrinted>
  <dcterms:created xsi:type="dcterms:W3CDTF">2022-05-30T08:43:22Z</dcterms:created>
  <dcterms:modified xsi:type="dcterms:W3CDTF">2026-06-30T08:24:33Z</dcterms:modified>
</cp:coreProperties>
</file>