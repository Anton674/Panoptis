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Пользователь\Desktop\Поставка канцелярии (лот 1)\"/>
    </mc:Choice>
  </mc:AlternateContent>
  <bookViews>
    <workbookView xWindow="0" yWindow="0" windowWidth="28800" windowHeight="11835"/>
  </bookViews>
  <sheets>
    <sheet name="обоснование НМЦК" sheetId="34" r:id="rId1"/>
  </sheets>
  <definedNames>
    <definedName name="_xlnm.Print_Area" localSheetId="0">'обоснование НМЦК'!$A$1:$N$38</definedName>
  </definedNames>
  <calcPr calcId="152511" fullPrecision="0"/>
</workbook>
</file>

<file path=xl/calcChain.xml><?xml version="1.0" encoding="utf-8"?>
<calcChain xmlns="http://schemas.openxmlformats.org/spreadsheetml/2006/main">
  <c r="L31" i="34" l="1"/>
  <c r="M31" i="34" s="1"/>
  <c r="J31" i="34"/>
  <c r="K31" i="34" s="1"/>
  <c r="N31" i="34" s="1"/>
  <c r="L30" i="34"/>
  <c r="M30" i="34" s="1"/>
  <c r="J30" i="34"/>
  <c r="K30" i="34" s="1"/>
  <c r="N30" i="34" s="1"/>
  <c r="L28" i="34" l="1"/>
  <c r="M28" i="34" s="1"/>
  <c r="J28" i="34"/>
  <c r="K28" i="34" s="1"/>
  <c r="N28" i="34" s="1"/>
  <c r="L29" i="34"/>
  <c r="M29" i="34" s="1"/>
  <c r="J29" i="34"/>
  <c r="K29" i="34" s="1"/>
  <c r="N29" i="34" s="1"/>
  <c r="L27" i="34"/>
  <c r="J27" i="34"/>
  <c r="K27" i="34" s="1"/>
  <c r="N27" i="34" s="1"/>
  <c r="L26" i="34"/>
  <c r="M26" i="34" s="1"/>
  <c r="J26" i="34"/>
  <c r="K26" i="34" s="1"/>
  <c r="N26" i="34" s="1"/>
  <c r="M27" i="34" l="1"/>
  <c r="J13" i="34"/>
  <c r="K13" i="34" s="1"/>
  <c r="J14" i="34"/>
  <c r="K14" i="34" s="1"/>
  <c r="J15" i="34"/>
  <c r="K15" i="34" s="1"/>
  <c r="J16" i="34"/>
  <c r="K16" i="34" s="1"/>
  <c r="J17" i="34"/>
  <c r="K17" i="34" s="1"/>
  <c r="J18" i="34"/>
  <c r="K18" i="34" s="1"/>
  <c r="J19" i="34"/>
  <c r="K19" i="34" s="1"/>
  <c r="J20" i="34"/>
  <c r="K20" i="34" s="1"/>
  <c r="J21" i="34"/>
  <c r="K21" i="34" s="1"/>
  <c r="N21" i="34" s="1"/>
  <c r="J22" i="34"/>
  <c r="K22" i="34" s="1"/>
  <c r="N22" i="34" s="1"/>
  <c r="J23" i="34"/>
  <c r="K23" i="34" s="1"/>
  <c r="N23" i="34" s="1"/>
  <c r="J24" i="34"/>
  <c r="K24" i="34" s="1"/>
  <c r="N24" i="34" s="1"/>
  <c r="J25" i="34"/>
  <c r="K25" i="34" s="1"/>
  <c r="N25" i="34" s="1"/>
  <c r="J32" i="34"/>
  <c r="K32" i="34" s="1"/>
  <c r="N32" i="34" s="1"/>
  <c r="L21" i="34"/>
  <c r="L22" i="34"/>
  <c r="L23" i="34"/>
  <c r="L24" i="34"/>
  <c r="L25" i="34"/>
  <c r="L32" i="34"/>
  <c r="M25" i="34" l="1"/>
  <c r="M21" i="34"/>
  <c r="M23" i="34"/>
  <c r="M32" i="34"/>
  <c r="M24" i="34"/>
  <c r="M22" i="34"/>
  <c r="L20" i="34"/>
  <c r="N20" i="34"/>
  <c r="L18" i="34"/>
  <c r="N18" i="34"/>
  <c r="L19" i="34"/>
  <c r="N19" i="34"/>
  <c r="L17" i="34"/>
  <c r="N17" i="34"/>
  <c r="M20" i="34" l="1"/>
  <c r="M17" i="34"/>
  <c r="M18" i="34"/>
  <c r="M19" i="34"/>
  <c r="N13" i="34"/>
  <c r="N14" i="34"/>
  <c r="N15" i="34"/>
  <c r="N16" i="34"/>
  <c r="L13" i="34"/>
  <c r="L14" i="34"/>
  <c r="L15" i="34"/>
  <c r="L16" i="34"/>
  <c r="M13" i="34" l="1"/>
  <c r="M15" i="34"/>
  <c r="M16" i="34"/>
  <c r="M14" i="34"/>
  <c r="J12" i="34"/>
  <c r="L12" i="34" l="1"/>
  <c r="K12" i="34"/>
  <c r="N12" i="34" s="1"/>
  <c r="N33" i="34" s="1"/>
  <c r="M12" i="34" l="1"/>
</calcChain>
</file>

<file path=xl/sharedStrings.xml><?xml version="1.0" encoding="utf-8"?>
<sst xmlns="http://schemas.openxmlformats.org/spreadsheetml/2006/main" count="77" uniqueCount="52">
  <si>
    <t>№ п/п</t>
  </si>
  <si>
    <t>Среднее квадратичное отклонение</t>
  </si>
  <si>
    <t>Определение однородности совокупности значений выявленных цен</t>
  </si>
  <si>
    <t>Наименование товара (работы, услуги)</t>
  </si>
  <si>
    <t>&lt;ц&gt; - средн. арифм. величина цены единицы прод-ции, руб.</t>
  </si>
  <si>
    <t>Номер источника ценовой информации (ИЦИ №i) и цена единицы товара, работы, услуги, представленная i-тым ИЦИ (Цi), руб.</t>
  </si>
  <si>
    <t xml:space="preserve">                              , руб. </t>
  </si>
  <si>
    <t>Итоговая цена единицы прод-ции, руб.</t>
  </si>
  <si>
    <t>Обоснование начальной (максимальной) цены контракта</t>
  </si>
  <si>
    <t>V - коэф-нт вариации</t>
  </si>
  <si>
    <t>14=8*11</t>
  </si>
  <si>
    <t xml:space="preserve">11=если 10&lt;=7 то =10 иначе =7 </t>
  </si>
  <si>
    <t>10=                 /n</t>
  </si>
  <si>
    <t>9 = кол-во ответов ИЦИ</t>
  </si>
  <si>
    <t>v - кол-во (объем) закупаемого товара (работы, услуги)</t>
  </si>
  <si>
    <t>Валюта, используемая для формирования цены контракта и расчетов с исполнителем - рубль Российской Федерации.</t>
  </si>
  <si>
    <t>Определение начальной (максимальной) цены контракта методом сопоставимых рыночных цен (анализа рынка) представлено в Таблице № 1.</t>
  </si>
  <si>
    <t>Таблица № 1</t>
  </si>
  <si>
    <t>шт</t>
  </si>
  <si>
    <r>
      <t xml:space="preserve">Обоснованной признается закупка, осуществляемая в соответствии с положениями статей 19 и 22 Федерального закона от 05.04.2013 N 44-ФЗ "О контрактной системе в сфере закупок товаров, работ, услуг для обеспечения государственных и муниципальных нужд" (далее - Закон).
Начальная (максимальная) цена контракта (далее - НМЦК) определена и обоснована в соответствии с требованиями статьи 22 Закона и методических рекомендаций по применению методов определения начальной (максимальной) цены контракта, утвержденных приказом Министерства экономического развития Российской Федерации от 02.10.2013 N 567, посредством применения следующего метода или нескольких следующих методов: </t>
    </r>
    <r>
      <rPr>
        <b/>
        <sz val="11"/>
        <color theme="1"/>
        <rFont val="Times New Roman"/>
        <family val="1"/>
        <charset val="204"/>
      </rPr>
      <t>нормативный метод совместно с методом сопоставимых рыночных цен (анализа рынка) .</t>
    </r>
    <r>
      <rPr>
        <sz val="11"/>
        <color theme="1"/>
        <rFont val="Times New Roman"/>
        <family val="1"/>
        <charset val="204"/>
      </rPr>
      <t xml:space="preserve">
В целях применения нормативного метода используются предельные цены, установленные в соответствии со статьей 19 Закона, постановлением Правительства Санкт-Петербурга от 15.06.2016 N </t>
    </r>
    <r>
      <rPr>
        <b/>
        <sz val="11"/>
        <color theme="1"/>
        <rFont val="Times New Roman"/>
        <family val="1"/>
        <charset val="204"/>
      </rPr>
      <t>489</t>
    </r>
    <r>
      <rPr>
        <sz val="11"/>
        <color theme="1"/>
        <rFont val="Times New Roman"/>
        <family val="1"/>
        <charset val="204"/>
      </rPr>
      <t xml:space="preserve"> "Об утверждении Правил определения требований к закупаемым государственными органами Санкт-Петербурга, органом управления территориальным государственным внебюджетным фондом и подведомственными им казенными учреждениями, бюджетными учреждениями и государственными унитарными предприятиями отдельным видам товаров, работ, услуг (в том числе предельных цен товаров, работ, услуг)",</t>
    </r>
    <r>
      <rPr>
        <sz val="11"/>
        <color theme="1"/>
        <rFont val="Times New Roman"/>
        <family val="1"/>
        <charset val="204"/>
      </rPr>
      <t xml:space="preserve"> распоряжением Комитета по социальной политике Санкт-Петербурга от 09.01.2020 N </t>
    </r>
    <r>
      <rPr>
        <b/>
        <sz val="11"/>
        <color theme="1"/>
        <rFont val="Times New Roman"/>
        <family val="1"/>
        <charset val="204"/>
      </rPr>
      <t>3-</t>
    </r>
    <r>
      <rPr>
        <sz val="11"/>
        <color theme="1"/>
        <rFont val="Times New Roman"/>
        <family val="1"/>
        <charset val="204"/>
      </rPr>
      <t>р "Об утверждении требований к закупаемым Комитетом по социальной политике Санкт-Петербурга, а также государственными казенными и бюджетными учреждениями, находящимися в ведении Комитета по социальной политике Санкт-Петербурга, отдельным видам товаров, работ, услуг (в том числе предельных цен товаров, работ, услуг)".</t>
    </r>
  </si>
  <si>
    <t>Ед. изм.</t>
  </si>
  <si>
    <r>
      <rPr>
        <b/>
        <sz val="10"/>
        <color indexed="8"/>
        <rFont val="Times New Roman"/>
        <family val="1"/>
        <charset val="204"/>
      </rPr>
      <t>n - кол-во значений, используемых в расчете</t>
    </r>
  </si>
  <si>
    <t>упак</t>
  </si>
  <si>
    <t>Альбом для рисования тип 1</t>
  </si>
  <si>
    <t>Ножницы канцелярские тип 1</t>
  </si>
  <si>
    <t>Бумага цветная для творчества тип 2</t>
  </si>
  <si>
    <t>набор</t>
  </si>
  <si>
    <t>,</t>
  </si>
  <si>
    <t>Средство корректирующее канцелярское тип 3</t>
  </si>
  <si>
    <t>Папка для черчения с листами тип 1</t>
  </si>
  <si>
    <t>Тетрадь ученическая школьная тип 1</t>
  </si>
  <si>
    <t>Тетрадь ученическая школьная тип 4</t>
  </si>
  <si>
    <t>Карандаш чернографитный тип 1</t>
  </si>
  <si>
    <t>Карандаш цветной в твердой оболочке тип 1</t>
  </si>
  <si>
    <t>Маркер тип 9</t>
  </si>
  <si>
    <t>Ручка канцелярская тип 7</t>
  </si>
  <si>
    <t>Фломастер тип 3</t>
  </si>
  <si>
    <t>Пластилин для детского творчества тип 1</t>
  </si>
  <si>
    <t>-</t>
  </si>
  <si>
    <t>Папка-регистратор</t>
  </si>
  <si>
    <t>Тетрадь ученическая школьная (клетка)</t>
  </si>
  <si>
    <t>Транспортир тип 1</t>
  </si>
  <si>
    <t>Угольник чертежный тип 1</t>
  </si>
  <si>
    <t>Линейка тип 1</t>
  </si>
  <si>
    <t>Обоснование начальной (максимальной) цены контракта подготовлено 23.06.2026 г.</t>
  </si>
  <si>
    <t>Предельная цена в соответствии с распоряжением Комитета по социальной политике Санкт-Петербурга от 09.01.2020 № 3-р</t>
  </si>
  <si>
    <t>Дневник школьный</t>
  </si>
  <si>
    <t>Папка пластиковая на 2 кольцах А4</t>
  </si>
  <si>
    <t>ИЦИ №1         вх. № 740 от 23.06.2026г.</t>
  </si>
  <si>
    <t>ИЦИ №2         вх. № 741 от 23.06.2026г.</t>
  </si>
  <si>
    <t xml:space="preserve">ИЦИ №3          вх. № 742 от 23.06.2026г. </t>
  </si>
  <si>
    <t>В соответствии с частью 5 статьи 22 Закона Заказчиком в целях применения метода сопоставимых рыночных цен (анализа рынка) осуществлены следующие действия по получению ценовой информации:
- направлены запросы в адрес не менее пяти потенциальных исполнителей, осуществляющих поставку идентичных товаров, планируемых к закупке, или при их отсутствии однородных товаров 
Получено 3 ценовых предложений на запросы заказчика (вх. № 740, № 741, № 742 от 23.06.2026г.)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</si>
</sst>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3" x14ac:knownFonts="1">
    <font>
      <sz val="11"/>
      <color theme="1"/>
      <name val="Calibri"/>
      <family val="2"/>
      <charset val="204"/>
      <scheme val="minor"/>
    </font>
    <font>
      <b/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b/>
      <sz val="10"/>
      <name val="Times New Roman"/>
      <family val="1"/>
      <charset val="204"/>
    </font>
    <font>
      <sz val="9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59">
    <xf numFmtId="0" fontId="0" fillId="0" borderId="0" xfId="0"/>
    <xf numFmtId="4" fontId="3" fillId="2" borderId="2" xfId="0" applyNumberFormat="1" applyFont="1" applyFill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right" vertical="center" wrapText="1"/>
    </xf>
    <xf numFmtId="10" fontId="0" fillId="0" borderId="0" xfId="0" applyNumberFormat="1"/>
    <xf numFmtId="0" fontId="2" fillId="0" borderId="0" xfId="0" applyFont="1" applyFill="1"/>
    <xf numFmtId="1" fontId="0" fillId="0" borderId="0" xfId="0" applyNumberFormat="1" applyFont="1"/>
    <xf numFmtId="1" fontId="0" fillId="3" borderId="0" xfId="0" applyNumberFormat="1" applyFill="1"/>
    <xf numFmtId="1" fontId="5" fillId="3" borderId="3" xfId="0" applyNumberFormat="1" applyFont="1" applyFill="1" applyBorder="1" applyAlignment="1">
      <alignment horizontal="center" vertical="center" wrapText="1"/>
    </xf>
    <xf numFmtId="1" fontId="7" fillId="0" borderId="0" xfId="0" applyNumberFormat="1" applyFont="1"/>
    <xf numFmtId="1" fontId="7" fillId="0" borderId="0" xfId="0" applyNumberFormat="1" applyFont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4" fontId="3" fillId="3" borderId="2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1" fontId="0" fillId="3" borderId="0" xfId="0" applyNumberFormat="1" applyFont="1" applyFill="1"/>
    <xf numFmtId="0" fontId="0" fillId="3" borderId="0" xfId="0" applyFill="1"/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4" fontId="3" fillId="3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4" fontId="3" fillId="3" borderId="1" xfId="0" applyNumberFormat="1" applyFont="1" applyFill="1" applyBorder="1" applyAlignment="1">
      <alignment vertical="center" wrapText="1"/>
    </xf>
    <xf numFmtId="1" fontId="3" fillId="3" borderId="2" xfId="0" applyNumberFormat="1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2" fontId="7" fillId="3" borderId="4" xfId="0" applyNumberFormat="1" applyFont="1" applyFill="1" applyBorder="1" applyAlignment="1">
      <alignment horizontal="center"/>
    </xf>
    <xf numFmtId="2" fontId="7" fillId="3" borderId="2" xfId="0" applyNumberFormat="1" applyFont="1" applyFill="1" applyBorder="1" applyAlignment="1">
      <alignment horizontal="center"/>
    </xf>
    <xf numFmtId="2" fontId="11" fillId="3" borderId="2" xfId="0" applyNumberFormat="1" applyFont="1" applyFill="1" applyBorder="1" applyAlignment="1">
      <alignment horizontal="center" wrapText="1"/>
    </xf>
    <xf numFmtId="1" fontId="12" fillId="3" borderId="2" xfId="0" applyNumberFormat="1" applyFont="1" applyFill="1" applyBorder="1" applyAlignment="1">
      <alignment horizontal="center" wrapText="1"/>
    </xf>
    <xf numFmtId="0" fontId="4" fillId="3" borderId="4" xfId="0" applyNumberFormat="1" applyFont="1" applyFill="1" applyBorder="1" applyAlignment="1">
      <alignment horizontal="center" wrapText="1"/>
    </xf>
    <xf numFmtId="2" fontId="4" fillId="3" borderId="2" xfId="0" applyNumberFormat="1" applyFont="1" applyFill="1" applyBorder="1" applyAlignment="1">
      <alignment horizontal="center" wrapText="1"/>
    </xf>
    <xf numFmtId="4" fontId="3" fillId="3" borderId="2" xfId="0" applyNumberFormat="1" applyFont="1" applyFill="1" applyBorder="1" applyAlignment="1">
      <alignment horizontal="center" wrapText="1"/>
    </xf>
    <xf numFmtId="10" fontId="4" fillId="3" borderId="2" xfId="0" applyNumberFormat="1" applyFont="1" applyFill="1" applyBorder="1" applyAlignment="1">
      <alignment horizontal="center" wrapText="1"/>
    </xf>
    <xf numFmtId="4" fontId="4" fillId="3" borderId="2" xfId="0" applyNumberFormat="1" applyFont="1" applyFill="1" applyBorder="1" applyAlignment="1">
      <alignment horizontal="center" wrapText="1"/>
    </xf>
    <xf numFmtId="2" fontId="11" fillId="3" borderId="2" xfId="0" applyNumberFormat="1" applyFont="1" applyFill="1" applyBorder="1" applyAlignment="1">
      <alignment horizontal="center"/>
    </xf>
    <xf numFmtId="10" fontId="0" fillId="3" borderId="0" xfId="0" applyNumberFormat="1" applyFill="1"/>
    <xf numFmtId="10" fontId="0" fillId="4" borderId="0" xfId="0" applyNumberFormat="1" applyFill="1"/>
    <xf numFmtId="1" fontId="7" fillId="3" borderId="0" xfId="0" applyNumberFormat="1" applyFont="1" applyFill="1" applyAlignment="1">
      <alignment horizontal="center" wrapText="1"/>
    </xf>
    <xf numFmtId="1" fontId="7" fillId="3" borderId="0" xfId="0" applyNumberFormat="1" applyFont="1" applyFill="1" applyAlignment="1">
      <alignment horizontal="center"/>
    </xf>
    <xf numFmtId="1" fontId="7" fillId="0" borderId="0" xfId="0" applyNumberFormat="1" applyFont="1" applyAlignment="1">
      <alignment horizontal="left" vertical="center"/>
    </xf>
    <xf numFmtId="0" fontId="7" fillId="0" borderId="6" xfId="0" applyFont="1" applyBorder="1" applyAlignment="1">
      <alignment horizontal="left" wrapText="1"/>
    </xf>
    <xf numFmtId="4" fontId="6" fillId="0" borderId="7" xfId="0" applyNumberFormat="1" applyFont="1" applyBorder="1" applyAlignment="1">
      <alignment horizontal="right" vertical="center" wrapText="1"/>
    </xf>
    <xf numFmtId="4" fontId="6" fillId="0" borderId="8" xfId="0" applyNumberFormat="1" applyFont="1" applyBorder="1" applyAlignment="1">
      <alignment horizontal="right" vertical="center" wrapText="1"/>
    </xf>
    <xf numFmtId="1" fontId="7" fillId="0" borderId="0" xfId="0" applyNumberFormat="1" applyFont="1" applyFill="1" applyAlignment="1">
      <alignment horizontal="left" vertical="center"/>
    </xf>
    <xf numFmtId="0" fontId="6" fillId="0" borderId="0" xfId="0" applyFont="1" applyAlignment="1">
      <alignment horizont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4" fontId="4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/>
    </xf>
    <xf numFmtId="1" fontId="8" fillId="3" borderId="2" xfId="0" applyNumberFormat="1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1" fontId="7" fillId="0" borderId="0" xfId="0" applyNumberFormat="1" applyFont="1" applyFill="1" applyAlignment="1">
      <alignment horizontal="center" wrapText="1"/>
    </xf>
    <xf numFmtId="1" fontId="7" fillId="0" borderId="0" xfId="0" applyNumberFormat="1" applyFont="1" applyFill="1" applyAlignment="1">
      <alignment horizontal="center"/>
    </xf>
    <xf numFmtId="1" fontId="7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</cellXfs>
  <cellStyles count="3">
    <cellStyle name="Обычный" xfId="0" builtinId="0"/>
    <cellStyle name="Обычный 2 2 2" xfId="1"/>
    <cellStyle name="Обычный 4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219075</xdr:colOff>
      <xdr:row>7</xdr:row>
      <xdr:rowOff>0</xdr:rowOff>
    </xdr:from>
    <xdr:to>
      <xdr:col>12</xdr:col>
      <xdr:colOff>485775</xdr:colOff>
      <xdr:row>7</xdr:row>
      <xdr:rowOff>0</xdr:rowOff>
    </xdr:to>
    <xdr:pic>
      <xdr:nvPicPr>
        <xdr:cNvPr id="48777" name="Рисунок 1" descr="C:\Temp\KClipboardExport\l41eo45a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68182" t="17999" b="24001"/>
        <a:stretch>
          <a:fillRect/>
        </a:stretch>
      </xdr:blipFill>
      <xdr:spPr bwMode="auto">
        <a:xfrm>
          <a:off x="8677275" y="0"/>
          <a:ext cx="266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9</xdr:row>
      <xdr:rowOff>314325</xdr:rowOff>
    </xdr:from>
    <xdr:to>
      <xdr:col>7</xdr:col>
      <xdr:colOff>447675</xdr:colOff>
      <xdr:row>9</xdr:row>
      <xdr:rowOff>314325</xdr:rowOff>
    </xdr:to>
    <xdr:pic>
      <xdr:nvPicPr>
        <xdr:cNvPr id="48778" name="Рисунок 1" descr="C:\Temp\KClipboardExport\l41eo45a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68182" t="17999" b="24001"/>
        <a:stretch>
          <a:fillRect/>
        </a:stretch>
      </xdr:blipFill>
      <xdr:spPr bwMode="auto">
        <a:xfrm>
          <a:off x="4448175" y="3848100"/>
          <a:ext cx="4476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28575</xdr:colOff>
      <xdr:row>9</xdr:row>
      <xdr:rowOff>447675</xdr:rowOff>
    </xdr:from>
    <xdr:to>
      <xdr:col>11</xdr:col>
      <xdr:colOff>590550</xdr:colOff>
      <xdr:row>9</xdr:row>
      <xdr:rowOff>447675</xdr:rowOff>
    </xdr:to>
    <xdr:pic>
      <xdr:nvPicPr>
        <xdr:cNvPr id="48779" name="Picture 21" descr="C:\Temp\KClipboardExport\sssqsznq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658100" y="3981450"/>
          <a:ext cx="5619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66675</xdr:colOff>
      <xdr:row>9</xdr:row>
      <xdr:rowOff>676275</xdr:rowOff>
    </xdr:from>
    <xdr:to>
      <xdr:col>12</xdr:col>
      <xdr:colOff>704850</xdr:colOff>
      <xdr:row>9</xdr:row>
      <xdr:rowOff>676275</xdr:rowOff>
    </xdr:to>
    <xdr:pic>
      <xdr:nvPicPr>
        <xdr:cNvPr id="48780" name="Picture 19" descr="C:\Temp\KClipboardExport\8c4wnzhy.gif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524875" y="4210050"/>
          <a:ext cx="6381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219075</xdr:colOff>
      <xdr:row>10</xdr:row>
      <xdr:rowOff>228600</xdr:rowOff>
    </xdr:from>
    <xdr:to>
      <xdr:col>10</xdr:col>
      <xdr:colOff>485775</xdr:colOff>
      <xdr:row>10</xdr:row>
      <xdr:rowOff>228600</xdr:rowOff>
    </xdr:to>
    <xdr:pic>
      <xdr:nvPicPr>
        <xdr:cNvPr id="48781" name="Рисунок 1" descr="C:\Temp\KClipboardExport\l41eo45a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68182" t="17999" b="24001"/>
        <a:stretch>
          <a:fillRect/>
        </a:stretch>
      </xdr:blipFill>
      <xdr:spPr bwMode="auto">
        <a:xfrm>
          <a:off x="7077075" y="5286375"/>
          <a:ext cx="266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47625</xdr:colOff>
      <xdr:row>8</xdr:row>
      <xdr:rowOff>238125</xdr:rowOff>
    </xdr:from>
    <xdr:to>
      <xdr:col>13</xdr:col>
      <xdr:colOff>647700</xdr:colOff>
      <xdr:row>8</xdr:row>
      <xdr:rowOff>238125</xdr:rowOff>
    </xdr:to>
    <xdr:pic>
      <xdr:nvPicPr>
        <xdr:cNvPr id="48782" name="Picture 1" descr="C:\Temp\KClipboardExport\7d4qbwfz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t="13635" r="56836" b="28496"/>
        <a:stretch>
          <a:fillRect/>
        </a:stretch>
      </xdr:blipFill>
      <xdr:spPr bwMode="auto">
        <a:xfrm>
          <a:off x="9229725" y="3162300"/>
          <a:ext cx="6000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95250</xdr:colOff>
      <xdr:row>32</xdr:row>
      <xdr:rowOff>9525</xdr:rowOff>
    </xdr:from>
    <xdr:to>
      <xdr:col>12</xdr:col>
      <xdr:colOff>647700</xdr:colOff>
      <xdr:row>33</xdr:row>
      <xdr:rowOff>0</xdr:rowOff>
    </xdr:to>
    <xdr:pic>
      <xdr:nvPicPr>
        <xdr:cNvPr id="48783" name="Picture 1" descr="C:\Temp\KClipboardExport\7d4qbwfz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13635" r="53398" b="32678"/>
        <a:stretch>
          <a:fillRect/>
        </a:stretch>
      </xdr:blipFill>
      <xdr:spPr bwMode="auto">
        <a:xfrm>
          <a:off x="8553450" y="7048500"/>
          <a:ext cx="5524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219075</xdr:colOff>
      <xdr:row>10</xdr:row>
      <xdr:rowOff>228600</xdr:rowOff>
    </xdr:from>
    <xdr:to>
      <xdr:col>10</xdr:col>
      <xdr:colOff>485775</xdr:colOff>
      <xdr:row>10</xdr:row>
      <xdr:rowOff>228600</xdr:rowOff>
    </xdr:to>
    <xdr:pic>
      <xdr:nvPicPr>
        <xdr:cNvPr id="48784" name="Рисунок 1" descr="C:\Temp\KClipboardExport\l41eo45a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68182" t="17999" b="24001"/>
        <a:stretch>
          <a:fillRect/>
        </a:stretch>
      </xdr:blipFill>
      <xdr:spPr bwMode="auto">
        <a:xfrm>
          <a:off x="7077075" y="5286375"/>
          <a:ext cx="266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76200</xdr:colOff>
      <xdr:row>9</xdr:row>
      <xdr:rowOff>504825</xdr:rowOff>
    </xdr:from>
    <xdr:to>
      <xdr:col>11</xdr:col>
      <xdr:colOff>752475</xdr:colOff>
      <xdr:row>9</xdr:row>
      <xdr:rowOff>904875</xdr:rowOff>
    </xdr:to>
    <xdr:pic>
      <xdr:nvPicPr>
        <xdr:cNvPr id="48786" name="Picture 21" descr="C:\Temp\KClipboardExport\sssqsznq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05725" y="4038600"/>
          <a:ext cx="676275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209550</xdr:colOff>
      <xdr:row>8</xdr:row>
      <xdr:rowOff>57150</xdr:rowOff>
    </xdr:from>
    <xdr:to>
      <xdr:col>13</xdr:col>
      <xdr:colOff>942975</xdr:colOff>
      <xdr:row>8</xdr:row>
      <xdr:rowOff>466725</xdr:rowOff>
    </xdr:to>
    <xdr:pic>
      <xdr:nvPicPr>
        <xdr:cNvPr id="48787" name="Picture 1" descr="C:\Temp\KClipboardExport\7d4qbwfz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13635" r="56836" b="28496"/>
        <a:stretch>
          <a:fillRect/>
        </a:stretch>
      </xdr:blipFill>
      <xdr:spPr bwMode="auto">
        <a:xfrm>
          <a:off x="9391650" y="2981325"/>
          <a:ext cx="733425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47625</xdr:colOff>
      <xdr:row>9</xdr:row>
      <xdr:rowOff>476250</xdr:rowOff>
    </xdr:from>
    <xdr:to>
      <xdr:col>13</xdr:col>
      <xdr:colOff>1047750</xdr:colOff>
      <xdr:row>9</xdr:row>
      <xdr:rowOff>800100</xdr:rowOff>
    </xdr:to>
    <xdr:pic>
      <xdr:nvPicPr>
        <xdr:cNvPr id="48788" name="Picture 1" descr="C:\Temp\KClipboardExport\7d4qbwfz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13635"/>
        <a:stretch>
          <a:fillRect/>
        </a:stretch>
      </xdr:blipFill>
      <xdr:spPr bwMode="auto">
        <a:xfrm>
          <a:off x="9229725" y="4010025"/>
          <a:ext cx="1000125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294155</xdr:colOff>
      <xdr:row>10</xdr:row>
      <xdr:rowOff>57151</xdr:rowOff>
    </xdr:from>
    <xdr:to>
      <xdr:col>9</xdr:col>
      <xdr:colOff>711015</xdr:colOff>
      <xdr:row>10</xdr:row>
      <xdr:rowOff>341221</xdr:rowOff>
    </xdr:to>
    <xdr:pic>
      <xdr:nvPicPr>
        <xdr:cNvPr id="48789" name="Рисунок 1" descr="C:\Temp\KClipboardExport\l41eo45a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8182" t="17999" b="24001"/>
        <a:stretch>
          <a:fillRect/>
        </a:stretch>
      </xdr:blipFill>
      <xdr:spPr bwMode="auto">
        <a:xfrm>
          <a:off x="6266890" y="4886886"/>
          <a:ext cx="416860" cy="312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219075</xdr:colOff>
      <xdr:row>10</xdr:row>
      <xdr:rowOff>228600</xdr:rowOff>
    </xdr:from>
    <xdr:to>
      <xdr:col>10</xdr:col>
      <xdr:colOff>485775</xdr:colOff>
      <xdr:row>10</xdr:row>
      <xdr:rowOff>228600</xdr:rowOff>
    </xdr:to>
    <xdr:pic>
      <xdr:nvPicPr>
        <xdr:cNvPr id="48790" name="Рисунок 1" descr="C:\Temp\KClipboardExport\l41eo45a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68182" t="17999" b="24001"/>
        <a:stretch>
          <a:fillRect/>
        </a:stretch>
      </xdr:blipFill>
      <xdr:spPr bwMode="auto">
        <a:xfrm>
          <a:off x="7077075" y="5286375"/>
          <a:ext cx="266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28575</xdr:colOff>
      <xdr:row>9</xdr:row>
      <xdr:rowOff>466725</xdr:rowOff>
    </xdr:from>
    <xdr:to>
      <xdr:col>12</xdr:col>
      <xdr:colOff>581025</xdr:colOff>
      <xdr:row>9</xdr:row>
      <xdr:rowOff>775335</xdr:rowOff>
    </xdr:to>
    <xdr:pic>
      <xdr:nvPicPr>
        <xdr:cNvPr id="48791" name="Picture 19" descr="C:\Temp\KClipboardExport\8c4wnzhy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153775" y="5048250"/>
          <a:ext cx="552450" cy="3086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219075</xdr:colOff>
      <xdr:row>10</xdr:row>
      <xdr:rowOff>228600</xdr:rowOff>
    </xdr:from>
    <xdr:to>
      <xdr:col>10</xdr:col>
      <xdr:colOff>485775</xdr:colOff>
      <xdr:row>10</xdr:row>
      <xdr:rowOff>228600</xdr:rowOff>
    </xdr:to>
    <xdr:pic>
      <xdr:nvPicPr>
        <xdr:cNvPr id="17" name="Рисунок 1" descr="C:\Temp\KClipboardExport\l41eo45a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68182" t="17999" b="24001"/>
        <a:stretch>
          <a:fillRect/>
        </a:stretch>
      </xdr:blipFill>
      <xdr:spPr bwMode="auto">
        <a:xfrm>
          <a:off x="7191375" y="5057775"/>
          <a:ext cx="266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219075</xdr:colOff>
      <xdr:row>10</xdr:row>
      <xdr:rowOff>228600</xdr:rowOff>
    </xdr:from>
    <xdr:to>
      <xdr:col>10</xdr:col>
      <xdr:colOff>485775</xdr:colOff>
      <xdr:row>10</xdr:row>
      <xdr:rowOff>228600</xdr:rowOff>
    </xdr:to>
    <xdr:pic>
      <xdr:nvPicPr>
        <xdr:cNvPr id="18" name="Рисунок 1" descr="C:\Temp\KClipboardExport\l41eo45a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68182" t="17999" b="24001"/>
        <a:stretch>
          <a:fillRect/>
        </a:stretch>
      </xdr:blipFill>
      <xdr:spPr bwMode="auto">
        <a:xfrm>
          <a:off x="7191375" y="5057775"/>
          <a:ext cx="266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219075</xdr:colOff>
      <xdr:row>10</xdr:row>
      <xdr:rowOff>228600</xdr:rowOff>
    </xdr:from>
    <xdr:to>
      <xdr:col>10</xdr:col>
      <xdr:colOff>485775</xdr:colOff>
      <xdr:row>10</xdr:row>
      <xdr:rowOff>228600</xdr:rowOff>
    </xdr:to>
    <xdr:pic>
      <xdr:nvPicPr>
        <xdr:cNvPr id="20" name="Рисунок 1" descr="C:\Temp\KClipboardExport\l41eo45a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68182" t="17999" b="24001"/>
        <a:stretch>
          <a:fillRect/>
        </a:stretch>
      </xdr:blipFill>
      <xdr:spPr bwMode="auto">
        <a:xfrm>
          <a:off x="7191375" y="5057775"/>
          <a:ext cx="266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  <pageSetUpPr fitToPage="1"/>
  </sheetPr>
  <dimension ref="A1:O59"/>
  <sheetViews>
    <sheetView tabSelected="1" view="pageBreakPreview" topLeftCell="A13" zoomScaleNormal="100" zoomScaleSheetLayoutView="100" workbookViewId="0">
      <selection activeCell="H20" sqref="H20"/>
    </sheetView>
  </sheetViews>
  <sheetFormatPr defaultRowHeight="15" x14ac:dyDescent="0.25"/>
  <cols>
    <col min="1" max="1" width="5.42578125" style="5" customWidth="1"/>
    <col min="2" max="2" width="27.7109375" style="6" customWidth="1"/>
    <col min="3" max="3" width="11.140625" customWidth="1"/>
    <col min="4" max="4" width="12.28515625" customWidth="1"/>
    <col min="5" max="5" width="11.5703125" customWidth="1"/>
    <col min="6" max="6" width="12" customWidth="1"/>
    <col min="7" max="7" width="16.42578125" customWidth="1"/>
    <col min="8" max="8" width="13.42578125" customWidth="1"/>
    <col min="9" max="9" width="14" customWidth="1"/>
    <col min="10" max="10" width="14.7109375" customWidth="1"/>
    <col min="11" max="11" width="15.140625" customWidth="1"/>
    <col min="12" max="12" width="14.5703125" customWidth="1"/>
    <col min="13" max="13" width="10.85546875" customWidth="1"/>
    <col min="14" max="14" width="17.5703125" customWidth="1"/>
    <col min="15" max="15" width="11.28515625" style="3" customWidth="1"/>
  </cols>
  <sheetData>
    <row r="1" spans="1:14" x14ac:dyDescent="0.25">
      <c r="B1"/>
      <c r="L1" s="4"/>
      <c r="M1" s="4"/>
      <c r="N1" s="4"/>
    </row>
    <row r="2" spans="1:14" x14ac:dyDescent="0.25">
      <c r="A2" s="8"/>
      <c r="B2" s="46" t="s">
        <v>8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"/>
    </row>
    <row r="3" spans="1:14" ht="170.25" customHeight="1" x14ac:dyDescent="0.25">
      <c r="A3" s="51" t="s">
        <v>19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</row>
    <row r="4" spans="1:14" ht="55.5" customHeight="1" x14ac:dyDescent="0.25">
      <c r="A4" s="55" t="s">
        <v>51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</row>
    <row r="5" spans="1:14" x14ac:dyDescent="0.25">
      <c r="A5" s="57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</row>
    <row r="6" spans="1:14" x14ac:dyDescent="0.25">
      <c r="A6" s="39" t="s">
        <v>16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</row>
    <row r="7" spans="1:14" x14ac:dyDescent="0.25">
      <c r="A7" s="39" t="s">
        <v>15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</row>
    <row r="8" spans="1:14" x14ac:dyDescent="0.25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7"/>
      <c r="M8" s="17"/>
      <c r="N8" s="18" t="s">
        <v>17</v>
      </c>
    </row>
    <row r="9" spans="1:14" s="3" customFormat="1" ht="53.25" customHeight="1" x14ac:dyDescent="0.25">
      <c r="A9" s="53" t="s">
        <v>0</v>
      </c>
      <c r="B9" s="50" t="s">
        <v>3</v>
      </c>
      <c r="C9" s="54" t="s">
        <v>20</v>
      </c>
      <c r="D9" s="50" t="s">
        <v>5</v>
      </c>
      <c r="E9" s="50"/>
      <c r="F9" s="50"/>
      <c r="G9" s="47" t="s">
        <v>45</v>
      </c>
      <c r="H9" s="47" t="s">
        <v>14</v>
      </c>
      <c r="I9" s="47" t="s">
        <v>21</v>
      </c>
      <c r="J9" s="10"/>
      <c r="K9" s="49" t="s">
        <v>2</v>
      </c>
      <c r="L9" s="49"/>
      <c r="M9" s="49"/>
      <c r="N9" s="19" t="s">
        <v>6</v>
      </c>
    </row>
    <row r="10" spans="1:14" s="3" customFormat="1" ht="84.75" customHeight="1" x14ac:dyDescent="0.25">
      <c r="A10" s="53"/>
      <c r="B10" s="50"/>
      <c r="C10" s="54"/>
      <c r="D10" s="10" t="s">
        <v>48</v>
      </c>
      <c r="E10" s="10" t="s">
        <v>49</v>
      </c>
      <c r="F10" s="10" t="s">
        <v>50</v>
      </c>
      <c r="G10" s="48"/>
      <c r="H10" s="48"/>
      <c r="I10" s="48"/>
      <c r="J10" s="11" t="s">
        <v>4</v>
      </c>
      <c r="K10" s="11" t="s">
        <v>7</v>
      </c>
      <c r="L10" s="20" t="s">
        <v>1</v>
      </c>
      <c r="M10" s="21" t="s">
        <v>9</v>
      </c>
      <c r="N10" s="22"/>
    </row>
    <row r="11" spans="1:14" s="3" customFormat="1" ht="27" x14ac:dyDescent="0.25">
      <c r="A11" s="23">
        <v>1</v>
      </c>
      <c r="B11" s="7">
        <v>2</v>
      </c>
      <c r="C11" s="24">
        <v>3</v>
      </c>
      <c r="D11" s="7">
        <v>4</v>
      </c>
      <c r="E11" s="7">
        <v>5</v>
      </c>
      <c r="F11" s="7">
        <v>6</v>
      </c>
      <c r="G11" s="25">
        <v>7</v>
      </c>
      <c r="H11" s="26">
        <v>8</v>
      </c>
      <c r="I11" s="25" t="s">
        <v>13</v>
      </c>
      <c r="J11" s="25" t="s">
        <v>12</v>
      </c>
      <c r="K11" s="7" t="s">
        <v>11</v>
      </c>
      <c r="L11" s="25">
        <v>12</v>
      </c>
      <c r="M11" s="25">
        <v>13</v>
      </c>
      <c r="N11" s="25" t="s">
        <v>10</v>
      </c>
    </row>
    <row r="12" spans="1:14" s="37" customFormat="1" x14ac:dyDescent="0.25">
      <c r="A12" s="12">
        <v>1</v>
      </c>
      <c r="B12" s="13" t="s">
        <v>24</v>
      </c>
      <c r="C12" s="14" t="s">
        <v>18</v>
      </c>
      <c r="D12" s="27">
        <v>170</v>
      </c>
      <c r="E12" s="28">
        <v>180</v>
      </c>
      <c r="F12" s="28">
        <v>210</v>
      </c>
      <c r="G12" s="29">
        <v>397.81</v>
      </c>
      <c r="H12" s="30">
        <v>100</v>
      </c>
      <c r="I12" s="31">
        <v>3</v>
      </c>
      <c r="J12" s="32">
        <f>AVERAGE(D12:F12)</f>
        <v>186.67</v>
      </c>
      <c r="K12" s="33">
        <f t="shared" ref="K12:K32" si="0">IF(J12&lt;=G12,J12,G12)</f>
        <v>186.67</v>
      </c>
      <c r="L12" s="32">
        <f t="shared" ref="L12:L16" si="1">STDEV(D12:F12)</f>
        <v>20.82</v>
      </c>
      <c r="M12" s="34">
        <f t="shared" ref="M12:M16" si="2">L12/J12</f>
        <v>0.1115</v>
      </c>
      <c r="N12" s="35">
        <f t="shared" ref="N12:N16" si="3">K12*H12</f>
        <v>18667</v>
      </c>
    </row>
    <row r="13" spans="1:14" s="37" customFormat="1" x14ac:dyDescent="0.25">
      <c r="A13" s="12">
        <v>2</v>
      </c>
      <c r="B13" s="13" t="s">
        <v>23</v>
      </c>
      <c r="C13" s="14" t="s">
        <v>18</v>
      </c>
      <c r="D13" s="27">
        <v>140</v>
      </c>
      <c r="E13" s="28">
        <v>150</v>
      </c>
      <c r="F13" s="28">
        <v>160</v>
      </c>
      <c r="G13" s="36">
        <v>171.8</v>
      </c>
      <c r="H13" s="30">
        <v>40</v>
      </c>
      <c r="I13" s="31">
        <v>3</v>
      </c>
      <c r="J13" s="32">
        <f t="shared" ref="J13:J32" si="4">AVERAGE(D13:F13)</f>
        <v>150</v>
      </c>
      <c r="K13" s="33">
        <f t="shared" si="0"/>
        <v>150</v>
      </c>
      <c r="L13" s="32">
        <f t="shared" si="1"/>
        <v>10</v>
      </c>
      <c r="M13" s="34">
        <f t="shared" si="2"/>
        <v>6.6699999999999995E-2</v>
      </c>
      <c r="N13" s="35">
        <f t="shared" si="3"/>
        <v>6000</v>
      </c>
    </row>
    <row r="14" spans="1:14" s="37" customFormat="1" ht="30" x14ac:dyDescent="0.25">
      <c r="A14" s="12">
        <v>3</v>
      </c>
      <c r="B14" s="13" t="s">
        <v>30</v>
      </c>
      <c r="C14" s="14" t="s">
        <v>18</v>
      </c>
      <c r="D14" s="27">
        <v>25</v>
      </c>
      <c r="E14" s="28">
        <v>27</v>
      </c>
      <c r="F14" s="28">
        <v>29</v>
      </c>
      <c r="G14" s="36">
        <v>36.75</v>
      </c>
      <c r="H14" s="30">
        <v>200</v>
      </c>
      <c r="I14" s="31">
        <v>3</v>
      </c>
      <c r="J14" s="32">
        <f t="shared" si="4"/>
        <v>27</v>
      </c>
      <c r="K14" s="33">
        <f t="shared" si="0"/>
        <v>27</v>
      </c>
      <c r="L14" s="32">
        <f t="shared" si="1"/>
        <v>2</v>
      </c>
      <c r="M14" s="34">
        <f t="shared" si="2"/>
        <v>7.4099999999999999E-2</v>
      </c>
      <c r="N14" s="35">
        <f t="shared" si="3"/>
        <v>5400</v>
      </c>
    </row>
    <row r="15" spans="1:14" s="37" customFormat="1" ht="30" x14ac:dyDescent="0.25">
      <c r="A15" s="12">
        <v>4</v>
      </c>
      <c r="B15" s="13" t="s">
        <v>31</v>
      </c>
      <c r="C15" s="14" t="s">
        <v>18</v>
      </c>
      <c r="D15" s="27">
        <v>10</v>
      </c>
      <c r="E15" s="28">
        <v>10.5</v>
      </c>
      <c r="F15" s="28">
        <v>11</v>
      </c>
      <c r="G15" s="36">
        <v>29.27</v>
      </c>
      <c r="H15" s="30">
        <v>200</v>
      </c>
      <c r="I15" s="31">
        <v>3</v>
      </c>
      <c r="J15" s="32">
        <f t="shared" si="4"/>
        <v>10.5</v>
      </c>
      <c r="K15" s="33">
        <f t="shared" si="0"/>
        <v>10.5</v>
      </c>
      <c r="L15" s="32">
        <f t="shared" si="1"/>
        <v>0.5</v>
      </c>
      <c r="M15" s="34">
        <f t="shared" si="2"/>
        <v>4.7600000000000003E-2</v>
      </c>
      <c r="N15" s="35">
        <f t="shared" si="3"/>
        <v>2100</v>
      </c>
    </row>
    <row r="16" spans="1:14" s="37" customFormat="1" ht="30" x14ac:dyDescent="0.25">
      <c r="A16" s="12">
        <v>5</v>
      </c>
      <c r="B16" s="13" t="s">
        <v>40</v>
      </c>
      <c r="C16" s="14" t="s">
        <v>18</v>
      </c>
      <c r="D16" s="27">
        <v>25</v>
      </c>
      <c r="E16" s="28">
        <v>30</v>
      </c>
      <c r="F16" s="28">
        <v>32</v>
      </c>
      <c r="G16" s="36" t="s">
        <v>38</v>
      </c>
      <c r="H16" s="30">
        <v>300</v>
      </c>
      <c r="I16" s="31">
        <v>3</v>
      </c>
      <c r="J16" s="32">
        <f t="shared" si="4"/>
        <v>29</v>
      </c>
      <c r="K16" s="33">
        <f t="shared" si="0"/>
        <v>29</v>
      </c>
      <c r="L16" s="32">
        <f t="shared" si="1"/>
        <v>3.61</v>
      </c>
      <c r="M16" s="34">
        <f t="shared" si="2"/>
        <v>0.1245</v>
      </c>
      <c r="N16" s="35">
        <f t="shared" si="3"/>
        <v>8700</v>
      </c>
    </row>
    <row r="17" spans="1:14" s="37" customFormat="1" ht="30" x14ac:dyDescent="0.25">
      <c r="A17" s="12">
        <v>6</v>
      </c>
      <c r="B17" s="13" t="s">
        <v>25</v>
      </c>
      <c r="C17" s="14" t="s">
        <v>26</v>
      </c>
      <c r="D17" s="27">
        <v>133</v>
      </c>
      <c r="E17" s="28">
        <v>137</v>
      </c>
      <c r="F17" s="28">
        <v>140</v>
      </c>
      <c r="G17" s="36">
        <v>144.46</v>
      </c>
      <c r="H17" s="30">
        <v>70</v>
      </c>
      <c r="I17" s="31">
        <v>3</v>
      </c>
      <c r="J17" s="32">
        <f t="shared" si="4"/>
        <v>136.66999999999999</v>
      </c>
      <c r="K17" s="33">
        <f t="shared" si="0"/>
        <v>136.66999999999999</v>
      </c>
      <c r="L17" s="32">
        <f t="shared" ref="L17" si="5">STDEV(D17:F17)</f>
        <v>3.51</v>
      </c>
      <c r="M17" s="34">
        <f t="shared" ref="M17" si="6">L17/J17</f>
        <v>2.5700000000000001E-2</v>
      </c>
      <c r="N17" s="35">
        <f t="shared" ref="N17" si="7">K17*H17</f>
        <v>9566.9</v>
      </c>
    </row>
    <row r="18" spans="1:14" s="37" customFormat="1" ht="30" x14ac:dyDescent="0.25">
      <c r="A18" s="12">
        <v>7</v>
      </c>
      <c r="B18" s="13" t="s">
        <v>28</v>
      </c>
      <c r="C18" s="14" t="s">
        <v>18</v>
      </c>
      <c r="D18" s="27">
        <v>150</v>
      </c>
      <c r="E18" s="28">
        <v>140</v>
      </c>
      <c r="F18" s="28">
        <v>168</v>
      </c>
      <c r="G18" s="36">
        <v>293.79000000000002</v>
      </c>
      <c r="H18" s="30">
        <v>50</v>
      </c>
      <c r="I18" s="31">
        <v>3</v>
      </c>
      <c r="J18" s="32">
        <f t="shared" si="4"/>
        <v>152.66999999999999</v>
      </c>
      <c r="K18" s="33">
        <f t="shared" si="0"/>
        <v>152.66999999999999</v>
      </c>
      <c r="L18" s="32">
        <f t="shared" ref="L18:L19" si="8">STDEV(D18:F18)</f>
        <v>14.19</v>
      </c>
      <c r="M18" s="34">
        <f t="shared" ref="M18:M19" si="9">L18/J18</f>
        <v>9.2899999999999996E-2</v>
      </c>
      <c r="N18" s="35">
        <f t="shared" ref="N18:N19" si="10">K18*H18</f>
        <v>7633.5</v>
      </c>
    </row>
    <row r="19" spans="1:14" s="37" customFormat="1" ht="30" x14ac:dyDescent="0.25">
      <c r="A19" s="12">
        <v>8</v>
      </c>
      <c r="B19" s="13" t="s">
        <v>29</v>
      </c>
      <c r="C19" s="14" t="s">
        <v>18</v>
      </c>
      <c r="D19" s="27">
        <v>220</v>
      </c>
      <c r="E19" s="28">
        <v>260</v>
      </c>
      <c r="F19" s="28">
        <v>300</v>
      </c>
      <c r="G19" s="36">
        <v>508.16</v>
      </c>
      <c r="H19" s="30">
        <v>50</v>
      </c>
      <c r="I19" s="31">
        <v>3</v>
      </c>
      <c r="J19" s="32">
        <f t="shared" si="4"/>
        <v>260</v>
      </c>
      <c r="K19" s="33">
        <f t="shared" si="0"/>
        <v>260</v>
      </c>
      <c r="L19" s="32">
        <f t="shared" si="8"/>
        <v>40</v>
      </c>
      <c r="M19" s="34">
        <f t="shared" si="9"/>
        <v>0.15379999999999999</v>
      </c>
      <c r="N19" s="35">
        <f t="shared" si="10"/>
        <v>13000</v>
      </c>
    </row>
    <row r="20" spans="1:14" s="37" customFormat="1" x14ac:dyDescent="0.25">
      <c r="A20" s="12">
        <v>9</v>
      </c>
      <c r="B20" s="13" t="s">
        <v>39</v>
      </c>
      <c r="C20" s="14" t="s">
        <v>18</v>
      </c>
      <c r="D20" s="27">
        <v>300</v>
      </c>
      <c r="E20" s="28">
        <v>310</v>
      </c>
      <c r="F20" s="28">
        <v>320</v>
      </c>
      <c r="G20" s="36" t="s">
        <v>38</v>
      </c>
      <c r="H20" s="30">
        <v>43</v>
      </c>
      <c r="I20" s="31">
        <v>3</v>
      </c>
      <c r="J20" s="32">
        <f t="shared" si="4"/>
        <v>310</v>
      </c>
      <c r="K20" s="33">
        <f t="shared" si="0"/>
        <v>310</v>
      </c>
      <c r="L20" s="32">
        <f t="shared" ref="L20" si="11">STDEV(D20:F20)</f>
        <v>10</v>
      </c>
      <c r="M20" s="34">
        <f t="shared" ref="M20" si="12">L20/J20</f>
        <v>3.2300000000000002E-2</v>
      </c>
      <c r="N20" s="35">
        <f t="shared" ref="N20" si="13">K20*H20</f>
        <v>13330</v>
      </c>
    </row>
    <row r="21" spans="1:14" s="37" customFormat="1" ht="30" x14ac:dyDescent="0.25">
      <c r="A21" s="12">
        <v>10</v>
      </c>
      <c r="B21" s="13" t="s">
        <v>32</v>
      </c>
      <c r="C21" s="14" t="s">
        <v>18</v>
      </c>
      <c r="D21" s="27">
        <v>24</v>
      </c>
      <c r="E21" s="28">
        <v>23</v>
      </c>
      <c r="F21" s="28">
        <v>25</v>
      </c>
      <c r="G21" s="36">
        <v>32.69</v>
      </c>
      <c r="H21" s="30">
        <v>300</v>
      </c>
      <c r="I21" s="31">
        <v>3</v>
      </c>
      <c r="J21" s="32">
        <f t="shared" si="4"/>
        <v>24</v>
      </c>
      <c r="K21" s="33">
        <f t="shared" si="0"/>
        <v>24</v>
      </c>
      <c r="L21" s="32">
        <f t="shared" ref="L21" si="14">STDEV(D21:F21)</f>
        <v>1</v>
      </c>
      <c r="M21" s="34">
        <f t="shared" ref="M21" si="15">L21/J21</f>
        <v>4.1700000000000001E-2</v>
      </c>
      <c r="N21" s="35">
        <f t="shared" ref="N21" si="16">K21*H21</f>
        <v>7200</v>
      </c>
    </row>
    <row r="22" spans="1:14" s="37" customFormat="1" ht="30" x14ac:dyDescent="0.25">
      <c r="A22" s="12">
        <v>11</v>
      </c>
      <c r="B22" s="13" t="s">
        <v>33</v>
      </c>
      <c r="C22" s="14" t="s">
        <v>18</v>
      </c>
      <c r="D22" s="27">
        <v>180</v>
      </c>
      <c r="E22" s="28">
        <v>185</v>
      </c>
      <c r="F22" s="28">
        <v>160</v>
      </c>
      <c r="G22" s="36">
        <v>250.26</v>
      </c>
      <c r="H22" s="30">
        <v>60</v>
      </c>
      <c r="I22" s="31">
        <v>3</v>
      </c>
      <c r="J22" s="32">
        <f t="shared" si="4"/>
        <v>175</v>
      </c>
      <c r="K22" s="33">
        <f t="shared" si="0"/>
        <v>175</v>
      </c>
      <c r="L22" s="32">
        <f t="shared" ref="L22" si="17">STDEV(D22:F22)</f>
        <v>13.23</v>
      </c>
      <c r="M22" s="34">
        <f t="shared" ref="M22" si="18">L22/J22</f>
        <v>7.5600000000000001E-2</v>
      </c>
      <c r="N22" s="35">
        <f t="shared" ref="N22" si="19">K22*H22</f>
        <v>10500</v>
      </c>
    </row>
    <row r="23" spans="1:14" s="37" customFormat="1" x14ac:dyDescent="0.25">
      <c r="A23" s="12">
        <v>12</v>
      </c>
      <c r="B23" s="13" t="s">
        <v>34</v>
      </c>
      <c r="C23" s="14" t="s">
        <v>18</v>
      </c>
      <c r="D23" s="27">
        <v>90</v>
      </c>
      <c r="E23" s="28">
        <v>100</v>
      </c>
      <c r="F23" s="28">
        <v>110</v>
      </c>
      <c r="G23" s="36">
        <v>133</v>
      </c>
      <c r="H23" s="30">
        <v>60</v>
      </c>
      <c r="I23" s="31">
        <v>3</v>
      </c>
      <c r="J23" s="32">
        <f t="shared" si="4"/>
        <v>100</v>
      </c>
      <c r="K23" s="33">
        <f t="shared" si="0"/>
        <v>100</v>
      </c>
      <c r="L23" s="32">
        <f t="shared" ref="L23" si="20">STDEV(D23:F23)</f>
        <v>10</v>
      </c>
      <c r="M23" s="34">
        <f t="shared" ref="M23" si="21">L23/J23</f>
        <v>0.1</v>
      </c>
      <c r="N23" s="35">
        <f t="shared" ref="N23" si="22">K23*H23</f>
        <v>6000</v>
      </c>
    </row>
    <row r="24" spans="1:14" s="37" customFormat="1" x14ac:dyDescent="0.25">
      <c r="A24" s="12">
        <v>13</v>
      </c>
      <c r="B24" s="13" t="s">
        <v>35</v>
      </c>
      <c r="C24" s="14" t="s">
        <v>18</v>
      </c>
      <c r="D24" s="27">
        <v>105</v>
      </c>
      <c r="E24" s="28">
        <v>110</v>
      </c>
      <c r="F24" s="28">
        <v>112</v>
      </c>
      <c r="G24" s="36">
        <v>70.180000000000007</v>
      </c>
      <c r="H24" s="30">
        <v>50</v>
      </c>
      <c r="I24" s="31">
        <v>3</v>
      </c>
      <c r="J24" s="32">
        <f t="shared" si="4"/>
        <v>109</v>
      </c>
      <c r="K24" s="33">
        <f t="shared" si="0"/>
        <v>70.180000000000007</v>
      </c>
      <c r="L24" s="32">
        <f t="shared" ref="L24" si="23">STDEV(D24:F24)</f>
        <v>3.61</v>
      </c>
      <c r="M24" s="34">
        <f t="shared" ref="M24" si="24">L24/J24</f>
        <v>3.3099999999999997E-2</v>
      </c>
      <c r="N24" s="35">
        <f t="shared" ref="N24" si="25">K24*H24</f>
        <v>3509</v>
      </c>
    </row>
    <row r="25" spans="1:14" s="37" customFormat="1" x14ac:dyDescent="0.25">
      <c r="A25" s="12">
        <v>14</v>
      </c>
      <c r="B25" s="13" t="s">
        <v>36</v>
      </c>
      <c r="C25" s="14" t="s">
        <v>26</v>
      </c>
      <c r="D25" s="27">
        <v>250</v>
      </c>
      <c r="E25" s="28">
        <v>254</v>
      </c>
      <c r="F25" s="28">
        <v>260</v>
      </c>
      <c r="G25" s="36">
        <v>287.72000000000003</v>
      </c>
      <c r="H25" s="30">
        <v>60</v>
      </c>
      <c r="I25" s="31">
        <v>3</v>
      </c>
      <c r="J25" s="32">
        <f t="shared" si="4"/>
        <v>254.67</v>
      </c>
      <c r="K25" s="33">
        <f t="shared" si="0"/>
        <v>254.67</v>
      </c>
      <c r="L25" s="32">
        <f t="shared" ref="L25:L27" si="26">STDEV(D25:F25)</f>
        <v>5.03</v>
      </c>
      <c r="M25" s="34">
        <f t="shared" ref="M25:M27" si="27">L25/J25</f>
        <v>1.9800000000000002E-2</v>
      </c>
      <c r="N25" s="35">
        <f t="shared" ref="N25:N27" si="28">K25*H25</f>
        <v>15280.2</v>
      </c>
    </row>
    <row r="26" spans="1:14" s="37" customFormat="1" ht="28.5" customHeight="1" x14ac:dyDescent="0.25">
      <c r="A26" s="12">
        <v>15</v>
      </c>
      <c r="B26" s="13" t="s">
        <v>37</v>
      </c>
      <c r="C26" s="14" t="s">
        <v>22</v>
      </c>
      <c r="D26" s="27">
        <v>155</v>
      </c>
      <c r="E26" s="28">
        <v>160</v>
      </c>
      <c r="F26" s="28">
        <v>170</v>
      </c>
      <c r="G26" s="36">
        <v>232.45</v>
      </c>
      <c r="H26" s="30">
        <v>20</v>
      </c>
      <c r="I26" s="31">
        <v>3</v>
      </c>
      <c r="J26" s="32">
        <f t="shared" ref="J26:J27" si="29">AVERAGE(D26:F26)</f>
        <v>161.66999999999999</v>
      </c>
      <c r="K26" s="33">
        <f t="shared" ref="K26:K27" si="30">IF(J26&lt;=G26,J26,G26)</f>
        <v>161.66999999999999</v>
      </c>
      <c r="L26" s="32">
        <f t="shared" si="26"/>
        <v>7.64</v>
      </c>
      <c r="M26" s="34">
        <f t="shared" si="27"/>
        <v>4.7300000000000002E-2</v>
      </c>
      <c r="N26" s="35">
        <f t="shared" si="28"/>
        <v>3233.4</v>
      </c>
    </row>
    <row r="27" spans="1:14" s="37" customFormat="1" x14ac:dyDescent="0.25">
      <c r="A27" s="12">
        <v>16</v>
      </c>
      <c r="B27" s="13" t="s">
        <v>41</v>
      </c>
      <c r="C27" s="14" t="s">
        <v>18</v>
      </c>
      <c r="D27" s="27">
        <v>30</v>
      </c>
      <c r="E27" s="28">
        <v>32</v>
      </c>
      <c r="F27" s="28">
        <v>34</v>
      </c>
      <c r="G27" s="36" t="s">
        <v>38</v>
      </c>
      <c r="H27" s="30">
        <v>50</v>
      </c>
      <c r="I27" s="31">
        <v>3</v>
      </c>
      <c r="J27" s="32">
        <f t="shared" si="29"/>
        <v>32</v>
      </c>
      <c r="K27" s="33">
        <f t="shared" si="30"/>
        <v>32</v>
      </c>
      <c r="L27" s="32">
        <f t="shared" si="26"/>
        <v>2</v>
      </c>
      <c r="M27" s="34">
        <f t="shared" si="27"/>
        <v>6.25E-2</v>
      </c>
      <c r="N27" s="35">
        <f t="shared" si="28"/>
        <v>1600</v>
      </c>
    </row>
    <row r="28" spans="1:14" s="38" customFormat="1" x14ac:dyDescent="0.25">
      <c r="A28" s="12">
        <v>17</v>
      </c>
      <c r="B28" s="13" t="s">
        <v>42</v>
      </c>
      <c r="C28" s="14" t="s">
        <v>18</v>
      </c>
      <c r="D28" s="27">
        <v>58</v>
      </c>
      <c r="E28" s="28">
        <v>59</v>
      </c>
      <c r="F28" s="28">
        <v>63</v>
      </c>
      <c r="G28" s="36" t="s">
        <v>38</v>
      </c>
      <c r="H28" s="30">
        <v>50</v>
      </c>
      <c r="I28" s="31">
        <v>3</v>
      </c>
      <c r="J28" s="32">
        <f t="shared" ref="J28" si="31">AVERAGE(D28:F28)</f>
        <v>60</v>
      </c>
      <c r="K28" s="33">
        <f t="shared" ref="K28" si="32">IF(J28&lt;=G28,J28,G28)</f>
        <v>60</v>
      </c>
      <c r="L28" s="32">
        <f t="shared" ref="L28" si="33">STDEV(D28:F28)</f>
        <v>2.65</v>
      </c>
      <c r="M28" s="34">
        <f t="shared" ref="M28" si="34">L28/J28</f>
        <v>4.4200000000000003E-2</v>
      </c>
      <c r="N28" s="35">
        <f t="shared" ref="N28" si="35">K28*H28</f>
        <v>3000</v>
      </c>
    </row>
    <row r="29" spans="1:14" s="38" customFormat="1" x14ac:dyDescent="0.25">
      <c r="A29" s="12">
        <v>18</v>
      </c>
      <c r="B29" s="13" t="s">
        <v>42</v>
      </c>
      <c r="C29" s="14" t="s">
        <v>18</v>
      </c>
      <c r="D29" s="27">
        <v>58</v>
      </c>
      <c r="E29" s="28">
        <v>59</v>
      </c>
      <c r="F29" s="28">
        <v>63</v>
      </c>
      <c r="G29" s="36" t="s">
        <v>38</v>
      </c>
      <c r="H29" s="30">
        <v>50</v>
      </c>
      <c r="I29" s="31">
        <v>3</v>
      </c>
      <c r="J29" s="32">
        <f t="shared" ref="J29:J31" si="36">AVERAGE(D29:F29)</f>
        <v>60</v>
      </c>
      <c r="K29" s="33">
        <f t="shared" ref="K29:K31" si="37">IF(J29&lt;=G29,J29,G29)</f>
        <v>60</v>
      </c>
      <c r="L29" s="32">
        <f t="shared" ref="L29:L31" si="38">STDEV(D29:F29)</f>
        <v>2.65</v>
      </c>
      <c r="M29" s="34">
        <f t="shared" ref="M29:M31" si="39">L29/J29</f>
        <v>4.4200000000000003E-2</v>
      </c>
      <c r="N29" s="35">
        <f t="shared" ref="N29:N31" si="40">K29*H29</f>
        <v>3000</v>
      </c>
    </row>
    <row r="30" spans="1:14" s="38" customFormat="1" x14ac:dyDescent="0.25">
      <c r="A30" s="12">
        <v>19</v>
      </c>
      <c r="B30" s="13" t="s">
        <v>43</v>
      </c>
      <c r="C30" s="14" t="s">
        <v>18</v>
      </c>
      <c r="D30" s="27">
        <v>31</v>
      </c>
      <c r="E30" s="28">
        <v>29</v>
      </c>
      <c r="F30" s="28">
        <v>30</v>
      </c>
      <c r="G30" s="36">
        <v>52.79</v>
      </c>
      <c r="H30" s="30">
        <v>100</v>
      </c>
      <c r="I30" s="31">
        <v>3</v>
      </c>
      <c r="J30" s="32">
        <f t="shared" si="36"/>
        <v>30</v>
      </c>
      <c r="K30" s="33">
        <f t="shared" si="37"/>
        <v>30</v>
      </c>
      <c r="L30" s="32">
        <f t="shared" si="38"/>
        <v>1</v>
      </c>
      <c r="M30" s="34">
        <f t="shared" si="39"/>
        <v>3.3300000000000003E-2</v>
      </c>
      <c r="N30" s="35">
        <f t="shared" si="40"/>
        <v>3000</v>
      </c>
    </row>
    <row r="31" spans="1:14" s="38" customFormat="1" x14ac:dyDescent="0.25">
      <c r="A31" s="12">
        <v>20</v>
      </c>
      <c r="B31" s="13" t="s">
        <v>46</v>
      </c>
      <c r="C31" s="14" t="s">
        <v>18</v>
      </c>
      <c r="D31" s="27">
        <v>180</v>
      </c>
      <c r="E31" s="28">
        <v>190</v>
      </c>
      <c r="F31" s="28">
        <v>200</v>
      </c>
      <c r="G31" s="36" t="s">
        <v>38</v>
      </c>
      <c r="H31" s="30">
        <v>50</v>
      </c>
      <c r="I31" s="31">
        <v>3</v>
      </c>
      <c r="J31" s="32">
        <f t="shared" si="36"/>
        <v>190</v>
      </c>
      <c r="K31" s="33">
        <f t="shared" si="37"/>
        <v>190</v>
      </c>
      <c r="L31" s="32">
        <f t="shared" si="38"/>
        <v>10</v>
      </c>
      <c r="M31" s="34">
        <f t="shared" si="39"/>
        <v>5.2600000000000001E-2</v>
      </c>
      <c r="N31" s="35">
        <f t="shared" si="40"/>
        <v>9500</v>
      </c>
    </row>
    <row r="32" spans="1:14" s="38" customFormat="1" ht="30" x14ac:dyDescent="0.25">
      <c r="A32" s="12">
        <v>21</v>
      </c>
      <c r="B32" s="13" t="s">
        <v>47</v>
      </c>
      <c r="C32" s="14" t="s">
        <v>18</v>
      </c>
      <c r="D32" s="27">
        <v>130</v>
      </c>
      <c r="E32" s="28">
        <v>140</v>
      </c>
      <c r="F32" s="28">
        <v>120</v>
      </c>
      <c r="G32" s="36" t="s">
        <v>38</v>
      </c>
      <c r="H32" s="30">
        <v>50</v>
      </c>
      <c r="I32" s="31">
        <v>3</v>
      </c>
      <c r="J32" s="32">
        <f t="shared" si="4"/>
        <v>130</v>
      </c>
      <c r="K32" s="33">
        <f t="shared" si="0"/>
        <v>130</v>
      </c>
      <c r="L32" s="32">
        <f t="shared" ref="L32" si="41">STDEV(D32:F32)</f>
        <v>10</v>
      </c>
      <c r="M32" s="34">
        <f t="shared" ref="M32" si="42">L32/J32</f>
        <v>7.6899999999999996E-2</v>
      </c>
      <c r="N32" s="35">
        <f t="shared" ref="N32" si="43">K32*H32</f>
        <v>6500</v>
      </c>
    </row>
    <row r="33" spans="1:14" s="3" customFormat="1" x14ac:dyDescent="0.25">
      <c r="A33" s="43" t="s">
        <v>27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2"/>
      <c r="N33" s="1">
        <f>SUM(N12:N32)</f>
        <v>156720</v>
      </c>
    </row>
    <row r="34" spans="1:14" s="3" customFormat="1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</row>
    <row r="35" spans="1:14" s="3" customFormat="1" x14ac:dyDescent="0.25">
      <c r="A35" s="5"/>
      <c r="B35" s="45" t="s">
        <v>44</v>
      </c>
      <c r="C35" s="45"/>
      <c r="D35" s="45"/>
      <c r="E35" s="45"/>
      <c r="F35" s="45"/>
      <c r="G35" s="45"/>
      <c r="H35" s="45"/>
      <c r="I35" s="45"/>
      <c r="J35" s="45"/>
      <c r="K35" s="45"/>
      <c r="L35"/>
      <c r="M35"/>
      <c r="N35"/>
    </row>
    <row r="36" spans="1:14" s="3" customFormat="1" x14ac:dyDescent="0.25">
      <c r="A36" s="5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/>
      <c r="M36"/>
      <c r="N36"/>
    </row>
    <row r="37" spans="1:14" s="3" customFormat="1" x14ac:dyDescent="0.25">
      <c r="A37" s="5"/>
      <c r="B37"/>
      <c r="C37" s="9"/>
      <c r="D37" s="9"/>
      <c r="E37" s="9"/>
      <c r="F37" s="9"/>
      <c r="G37" s="9"/>
      <c r="H37" s="9"/>
      <c r="I37" s="9"/>
      <c r="J37" s="9"/>
      <c r="K37" s="9"/>
      <c r="L37"/>
      <c r="M37"/>
      <c r="N37"/>
    </row>
    <row r="38" spans="1:14" s="3" customFormat="1" x14ac:dyDescent="0.25">
      <c r="A38" s="5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3" customFormat="1" x14ac:dyDescent="0.25">
      <c r="A39" s="5"/>
      <c r="B39" s="6"/>
      <c r="C39"/>
      <c r="D39"/>
      <c r="E39"/>
      <c r="F39"/>
      <c r="G39"/>
      <c r="H39"/>
      <c r="I39"/>
      <c r="J39"/>
      <c r="K39"/>
      <c r="L39"/>
      <c r="M39"/>
      <c r="N39"/>
    </row>
    <row r="40" spans="1:14" s="3" customFormat="1" x14ac:dyDescent="0.25">
      <c r="A40" s="5"/>
      <c r="B40" s="6"/>
      <c r="C40"/>
      <c r="D40"/>
      <c r="E40"/>
      <c r="F40"/>
      <c r="G40"/>
      <c r="H40"/>
      <c r="I40"/>
      <c r="J40"/>
      <c r="K40"/>
      <c r="L40"/>
      <c r="M40"/>
      <c r="N40"/>
    </row>
    <row r="41" spans="1:14" s="3" customFormat="1" x14ac:dyDescent="0.25">
      <c r="A41" s="5"/>
      <c r="B41" s="6"/>
      <c r="C41"/>
      <c r="D41"/>
      <c r="E41"/>
      <c r="F41"/>
      <c r="G41"/>
      <c r="H41"/>
      <c r="I41"/>
      <c r="J41"/>
      <c r="K41"/>
      <c r="L41"/>
      <c r="M41"/>
      <c r="N41"/>
    </row>
    <row r="42" spans="1:14" s="3" customFormat="1" x14ac:dyDescent="0.25">
      <c r="A42" s="5"/>
      <c r="B42" s="6"/>
      <c r="C42"/>
      <c r="D42"/>
      <c r="E42"/>
      <c r="F42"/>
      <c r="G42"/>
      <c r="H42"/>
      <c r="I42"/>
      <c r="J42"/>
      <c r="K42"/>
      <c r="L42"/>
      <c r="M42"/>
      <c r="N42"/>
    </row>
    <row r="43" spans="1:14" s="3" customFormat="1" x14ac:dyDescent="0.25">
      <c r="A43" s="5"/>
      <c r="B43" s="6"/>
      <c r="C43"/>
      <c r="D43"/>
      <c r="E43"/>
      <c r="F43"/>
      <c r="G43"/>
      <c r="H43"/>
      <c r="I43"/>
      <c r="J43"/>
      <c r="K43"/>
      <c r="L43"/>
      <c r="M43"/>
      <c r="N43"/>
    </row>
    <row r="44" spans="1:14" s="3" customFormat="1" x14ac:dyDescent="0.25">
      <c r="A44" s="5"/>
      <c r="B44" s="6"/>
      <c r="C44"/>
      <c r="D44"/>
      <c r="E44"/>
      <c r="F44"/>
      <c r="G44"/>
      <c r="H44"/>
      <c r="I44"/>
      <c r="J44"/>
      <c r="K44"/>
      <c r="L44"/>
      <c r="M44"/>
      <c r="N44"/>
    </row>
    <row r="45" spans="1:14" s="3" customFormat="1" x14ac:dyDescent="0.25">
      <c r="A45" s="5"/>
      <c r="B45" s="6"/>
      <c r="C45"/>
      <c r="D45"/>
      <c r="E45"/>
      <c r="F45"/>
      <c r="G45"/>
      <c r="H45"/>
      <c r="I45"/>
      <c r="J45"/>
      <c r="K45"/>
      <c r="L45"/>
      <c r="M45"/>
      <c r="N45"/>
    </row>
    <row r="46" spans="1:14" s="3" customFormat="1" x14ac:dyDescent="0.25">
      <c r="A46" s="5"/>
      <c r="B46" s="6"/>
      <c r="C46"/>
      <c r="D46"/>
      <c r="E46"/>
      <c r="F46"/>
      <c r="G46"/>
      <c r="H46"/>
      <c r="I46"/>
      <c r="J46"/>
      <c r="K46"/>
      <c r="L46"/>
      <c r="M46"/>
      <c r="N46"/>
    </row>
    <row r="47" spans="1:14" s="3" customFormat="1" x14ac:dyDescent="0.25">
      <c r="A47" s="5"/>
      <c r="B47" s="6"/>
      <c r="C47"/>
      <c r="D47"/>
      <c r="E47"/>
      <c r="F47"/>
      <c r="G47"/>
      <c r="H47"/>
      <c r="I47"/>
      <c r="J47"/>
      <c r="K47"/>
      <c r="L47"/>
      <c r="M47"/>
      <c r="N47"/>
    </row>
    <row r="48" spans="1:14" s="3" customFormat="1" x14ac:dyDescent="0.25">
      <c r="A48" s="5"/>
      <c r="B48" s="6"/>
      <c r="C48"/>
      <c r="D48"/>
      <c r="E48"/>
      <c r="F48"/>
      <c r="G48"/>
      <c r="H48"/>
      <c r="I48"/>
      <c r="J48"/>
      <c r="K48"/>
      <c r="L48"/>
      <c r="M48"/>
      <c r="N48"/>
    </row>
    <row r="49" spans="1:14" s="3" customFormat="1" x14ac:dyDescent="0.25">
      <c r="A49" s="5"/>
      <c r="B49" s="6"/>
      <c r="C49"/>
      <c r="D49"/>
      <c r="E49"/>
      <c r="F49"/>
      <c r="G49"/>
      <c r="H49"/>
      <c r="I49"/>
      <c r="J49"/>
      <c r="K49"/>
      <c r="L49"/>
      <c r="M49"/>
      <c r="N49"/>
    </row>
    <row r="50" spans="1:14" s="3" customFormat="1" x14ac:dyDescent="0.25">
      <c r="A50" s="5"/>
      <c r="B50" s="6"/>
      <c r="C50"/>
      <c r="D50"/>
      <c r="E50"/>
      <c r="F50"/>
      <c r="G50"/>
      <c r="H50"/>
      <c r="I50"/>
      <c r="J50"/>
      <c r="K50"/>
      <c r="L50"/>
      <c r="M50"/>
      <c r="N50"/>
    </row>
    <row r="51" spans="1:14" s="3" customFormat="1" x14ac:dyDescent="0.25">
      <c r="A51" s="5"/>
      <c r="B51" s="6"/>
      <c r="C51"/>
      <c r="D51"/>
      <c r="E51"/>
      <c r="F51"/>
      <c r="G51"/>
      <c r="H51"/>
      <c r="I51"/>
      <c r="J51"/>
      <c r="K51"/>
      <c r="L51"/>
      <c r="M51"/>
      <c r="N51"/>
    </row>
    <row r="52" spans="1:14" s="3" customFormat="1" x14ac:dyDescent="0.25">
      <c r="A52" s="5"/>
      <c r="B52" s="6"/>
      <c r="C52"/>
      <c r="D52"/>
      <c r="E52"/>
      <c r="F52"/>
      <c r="G52"/>
      <c r="H52"/>
      <c r="I52"/>
      <c r="J52"/>
      <c r="K52"/>
      <c r="L52"/>
      <c r="M52"/>
      <c r="N52"/>
    </row>
    <row r="53" spans="1:14" s="3" customFormat="1" x14ac:dyDescent="0.25">
      <c r="A53" s="5"/>
      <c r="B53" s="6"/>
      <c r="C53"/>
      <c r="D53"/>
      <c r="E53"/>
      <c r="F53"/>
      <c r="G53"/>
      <c r="H53"/>
      <c r="I53"/>
      <c r="J53"/>
      <c r="K53"/>
      <c r="L53"/>
      <c r="M53"/>
      <c r="N53"/>
    </row>
    <row r="54" spans="1:14" s="3" customFormat="1" x14ac:dyDescent="0.25">
      <c r="A54" s="5"/>
      <c r="B54" s="6"/>
      <c r="C54"/>
      <c r="D54"/>
      <c r="E54"/>
      <c r="F54"/>
      <c r="G54"/>
      <c r="H54"/>
      <c r="I54"/>
      <c r="J54"/>
      <c r="K54"/>
      <c r="L54"/>
      <c r="M54"/>
      <c r="N54"/>
    </row>
    <row r="55" spans="1:14" s="3" customFormat="1" x14ac:dyDescent="0.25">
      <c r="A55" s="5"/>
      <c r="B55" s="6"/>
      <c r="C55"/>
      <c r="D55"/>
      <c r="E55"/>
      <c r="F55"/>
      <c r="G55"/>
      <c r="H55"/>
      <c r="I55"/>
      <c r="J55"/>
      <c r="K55"/>
      <c r="L55"/>
      <c r="M55"/>
      <c r="N55"/>
    </row>
    <row r="56" spans="1:14" s="3" customFormat="1" x14ac:dyDescent="0.25">
      <c r="A56" s="5"/>
      <c r="B56" s="6"/>
      <c r="C56"/>
      <c r="D56"/>
      <c r="E56"/>
      <c r="F56"/>
      <c r="G56"/>
      <c r="H56"/>
      <c r="I56"/>
      <c r="J56"/>
      <c r="K56"/>
      <c r="L56"/>
      <c r="M56"/>
      <c r="N56"/>
    </row>
    <row r="57" spans="1:14" s="3" customFormat="1" ht="22.5" customHeight="1" x14ac:dyDescent="0.25">
      <c r="A57" s="5"/>
      <c r="B57" s="6"/>
      <c r="C57"/>
      <c r="D57"/>
      <c r="E57"/>
      <c r="F57"/>
      <c r="G57"/>
      <c r="H57"/>
      <c r="I57"/>
      <c r="J57"/>
      <c r="K57"/>
      <c r="L57"/>
      <c r="M57"/>
      <c r="N57"/>
    </row>
    <row r="59" spans="1:14" ht="43.15" customHeight="1" x14ac:dyDescent="0.25"/>
  </sheetData>
  <mergeCells count="18">
    <mergeCell ref="B2:M2"/>
    <mergeCell ref="I9:I10"/>
    <mergeCell ref="K9:M9"/>
    <mergeCell ref="B9:B10"/>
    <mergeCell ref="A3:N3"/>
    <mergeCell ref="D9:F9"/>
    <mergeCell ref="G9:G10"/>
    <mergeCell ref="A9:A10"/>
    <mergeCell ref="C9:C10"/>
    <mergeCell ref="H9:H10"/>
    <mergeCell ref="A4:N4"/>
    <mergeCell ref="A5:N5"/>
    <mergeCell ref="A6:N6"/>
    <mergeCell ref="A7:N7"/>
    <mergeCell ref="B36:K36"/>
    <mergeCell ref="A34:N34"/>
    <mergeCell ref="A33:L33"/>
    <mergeCell ref="B35:K35"/>
  </mergeCells>
  <pageMargins left="0.39370078740157483" right="0.39370078740157483" top="0.39370078740157483" bottom="0.39370078740157483" header="0" footer="0"/>
  <pageSetup paperSize="9" scale="70" fitToHeight="0" orientation="landscape" r:id="rId1"/>
  <rowBreaks count="1" manualBreakCount="1">
    <brk id="19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обоснование НМЦК</vt:lpstr>
      <vt:lpstr>'обоснование НМЦК'!Область_печати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Пользователь</cp:lastModifiedBy>
  <cp:lastPrinted>2025-07-22T12:47:07Z</cp:lastPrinted>
  <dcterms:created xsi:type="dcterms:W3CDTF">2011-08-15T06:57:36Z</dcterms:created>
  <dcterms:modified xsi:type="dcterms:W3CDTF">2026-06-29T10:05:41Z</dcterms:modified>
</cp:coreProperties>
</file>