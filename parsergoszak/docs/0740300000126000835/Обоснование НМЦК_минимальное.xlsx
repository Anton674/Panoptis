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!!!!!WEB-ТОРГИ\ЗАЯВКИ ОТ ЗАКАЗЧИКОВ\А-1179\Рослякова\"/>
    </mc:Choice>
  </mc:AlternateContent>
  <xr:revisionPtr revIDLastSave="0" documentId="13_ncr:1_{85DB84A9-9A9F-4BD7-BF7A-9D6EF3CF8F55}" xr6:coauthVersionLast="47" xr6:coauthVersionMax="47" xr10:uidLastSave="{00000000-0000-0000-0000-000000000000}"/>
  <bookViews>
    <workbookView xWindow="-120" yWindow="-120" windowWidth="29040" windowHeight="15840" xr2:uid="{E4513AA3-2C9C-45BD-A0AA-859F89A51765}"/>
  </bookViews>
  <sheets>
    <sheet name="Лист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I7" i="1" s="1"/>
</calcChain>
</file>

<file path=xl/sharedStrings.xml><?xml version="1.0" encoding="utf-8"?>
<sst xmlns="http://schemas.openxmlformats.org/spreadsheetml/2006/main" count="27" uniqueCount="27">
  <si>
    <t>Предмет контракта</t>
  </si>
  <si>
    <t>Основные характеристики объекта закупки</t>
  </si>
  <si>
    <t>Используемый метод определения НМЦК с обоснованием:</t>
  </si>
  <si>
    <t>Метод сопоставимых рыночных цен (анализа рынка)
В соответствии с ч. 6 ст. 22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метод сопоставимых рыночных цен (анализа рынка) является приоритетным для определения и обоснования начальной (максимальной) цены контракта.</t>
  </si>
  <si>
    <t>Ед. изм.</t>
  </si>
  <si>
    <t>Коэффициент вариации</t>
  </si>
  <si>
    <t>Расчетная цена за единицу товара, рублей</t>
  </si>
  <si>
    <t>Расчет НМЦК (исходя из среднего значения позиции), руб.</t>
  </si>
  <si>
    <t>Член контрактной службы:</t>
  </si>
  <si>
    <t>Консультант по закупкам</t>
  </si>
  <si>
    <t>Е.А.Киселева</t>
  </si>
  <si>
    <t>Согласовано:</t>
  </si>
  <si>
    <t>Главный бухгалтер</t>
  </si>
  <si>
    <t>С.В.Удалая</t>
  </si>
  <si>
    <t>___________________2026 год</t>
  </si>
  <si>
    <t>ЛБО_______________________</t>
  </si>
  <si>
    <t>Обоснование начальной (максимальной) цены контракта (далее – НМЦК)</t>
  </si>
  <si>
    <t>Поставка бумаги для офисной техники</t>
  </si>
  <si>
    <t>Поставка бумаги для офисной техники (далее - товар) в соответствии с Описанием объекта закупки (Приложение №1)</t>
  </si>
  <si>
    <t>КТРУ:
17.12.14.110-00000003 - Бумага для офисной техники</t>
  </si>
  <si>
    <t>пачка</t>
  </si>
  <si>
    <t>Поставщик 1
Коммерческое предложение от 09.07.2026 №КО-716</t>
  </si>
  <si>
    <t>Поставщик 2
Информация о ценах товаров, работ, услуг, содержащаяся в рекламе, каталогах, описаниях товаров и в других предложениях, обращенных к неопределенному кругу лиц, полученная 21.07.2026</t>
  </si>
  <si>
    <t>Поставщик 3
Информация о ценах товаров, работ, услуг, содержащаяся в рекламе, каталогах, описаниях товаров и в других предложениях, обращенных к неопределенному кругу лиц, полученная 21.07.2026</t>
  </si>
  <si>
    <t>Кол-во</t>
  </si>
  <si>
    <r>
      <t>В целях определения однородности совокупности значений выявленных цен, используемых в расчете НМЦК, с помощью стандартных функций табличных редакторов рассчитан коэффициент вариации. Он составил менее 33%, следовательно, совокупность значений, используемых в расчете, считается однородной.
В целях эффективного расходования бюджетных средств, а также учитывая позицию Минфина России (Письмо от 08.09.2017 №24-01-09/58179), цена стоимости за единицу товара устанавливается как минимальное ценовое предложение.
Таким образом НМЦК составляет: 100</t>
    </r>
    <r>
      <rPr>
        <sz val="11"/>
        <color theme="1"/>
        <rFont val="Calibri"/>
        <family val="2"/>
        <charset val="204"/>
      </rPr>
      <t>×</t>
    </r>
    <r>
      <rPr>
        <sz val="11"/>
        <color theme="1"/>
        <rFont val="Times New Roman"/>
        <family val="1"/>
        <charset val="204"/>
      </rPr>
      <t>370,00=37000,00 (Тридцать семь тысяч) руб. 00 коп.</t>
    </r>
  </si>
  <si>
    <t>Наименование товара/КТРУ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</si>
</sst>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2056-42B4-4561-A5D6-8E9D8A3A8B76}">
  <sheetPr>
    <pageSetUpPr fitToPage="1"/>
  </sheetPr>
  <dimension ref="A1:K56"/>
  <sheetViews>
    <sheetView tabSelected="1" workbookViewId="0">
      <selection activeCell="A6" sqref="A6"/>
    </sheetView>
  </sheetViews>
  <sheetFormatPr defaultRowHeight="15" x14ac:dyDescent="0.25"/>
  <cols>
    <col min="1" max="1" width="33" customWidth="1"/>
    <col min="2" max="2" width="11.7109375" customWidth="1"/>
    <col min="3" max="3" width="11.28515625" customWidth="1"/>
    <col min="4" max="4" width="20.42578125" customWidth="1"/>
    <col min="5" max="5" width="21.28515625" customWidth="1"/>
    <col min="6" max="6" width="22" customWidth="1"/>
    <col min="7" max="7" width="13.140625" customWidth="1"/>
    <col min="8" max="8" width="11.28515625" customWidth="1"/>
    <col min="9" max="9" width="12.5703125" customWidth="1"/>
  </cols>
  <sheetData>
    <row r="1" spans="1:11" x14ac:dyDescent="0.25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8.75" customHeight="1" x14ac:dyDescent="0.25">
      <c r="A3" s="8" t="s">
        <v>0</v>
      </c>
      <c r="B3" s="18" t="s">
        <v>17</v>
      </c>
      <c r="C3" s="19"/>
      <c r="D3" s="19"/>
      <c r="E3" s="19"/>
      <c r="F3" s="19"/>
      <c r="G3" s="19"/>
      <c r="H3" s="19"/>
      <c r="I3" s="20"/>
      <c r="J3" s="2"/>
      <c r="K3" s="2"/>
    </row>
    <row r="4" spans="1:11" ht="29.25" x14ac:dyDescent="0.25">
      <c r="A4" s="9" t="s">
        <v>1</v>
      </c>
      <c r="B4" s="12" t="s">
        <v>18</v>
      </c>
      <c r="C4" s="13"/>
      <c r="D4" s="13"/>
      <c r="E4" s="13"/>
      <c r="F4" s="13"/>
      <c r="G4" s="13"/>
      <c r="H4" s="13"/>
      <c r="I4" s="14"/>
      <c r="J4" s="2"/>
      <c r="K4" s="2"/>
    </row>
    <row r="5" spans="1:11" ht="59.25" customHeight="1" x14ac:dyDescent="0.25">
      <c r="A5" s="9" t="s">
        <v>2</v>
      </c>
      <c r="B5" s="12" t="s">
        <v>3</v>
      </c>
      <c r="C5" s="13"/>
      <c r="D5" s="13"/>
      <c r="E5" s="13"/>
      <c r="F5" s="13"/>
      <c r="G5" s="13"/>
      <c r="H5" s="13"/>
      <c r="I5" s="14"/>
      <c r="J5" s="2"/>
      <c r="K5" s="2"/>
    </row>
    <row r="6" spans="1:11" ht="177" customHeight="1" x14ac:dyDescent="0.25">
      <c r="A6" s="4" t="s">
        <v>26</v>
      </c>
      <c r="B6" s="5" t="s">
        <v>4</v>
      </c>
      <c r="C6" s="4" t="s">
        <v>24</v>
      </c>
      <c r="D6" s="4" t="s">
        <v>21</v>
      </c>
      <c r="E6" s="4" t="s">
        <v>22</v>
      </c>
      <c r="F6" s="4" t="s">
        <v>23</v>
      </c>
      <c r="G6" s="4" t="s">
        <v>5</v>
      </c>
      <c r="H6" s="4" t="s">
        <v>6</v>
      </c>
      <c r="I6" s="7" t="s">
        <v>7</v>
      </c>
      <c r="J6" s="2"/>
      <c r="K6" s="2"/>
    </row>
    <row r="7" spans="1:11" ht="48.75" customHeight="1" x14ac:dyDescent="0.25">
      <c r="A7" s="3" t="s">
        <v>19</v>
      </c>
      <c r="B7" s="3" t="s">
        <v>20</v>
      </c>
      <c r="C7" s="1">
        <v>100</v>
      </c>
      <c r="D7" s="6">
        <v>370</v>
      </c>
      <c r="E7" s="6">
        <v>371</v>
      </c>
      <c r="F7" s="6">
        <v>560</v>
      </c>
      <c r="G7" s="6">
        <v>25.23</v>
      </c>
      <c r="H7" s="6">
        <f>(D7+E7+F7)/3</f>
        <v>433.66666666666669</v>
      </c>
      <c r="I7" s="6">
        <f>C7*H7</f>
        <v>43366.666666666672</v>
      </c>
      <c r="J7" s="2"/>
      <c r="K7" s="2"/>
    </row>
    <row r="8" spans="1:11" x14ac:dyDescent="0.25">
      <c r="A8" s="15" t="s">
        <v>25</v>
      </c>
      <c r="B8" s="15"/>
      <c r="C8" s="15"/>
      <c r="D8" s="15"/>
      <c r="E8" s="15"/>
      <c r="F8" s="15"/>
      <c r="G8" s="15"/>
      <c r="H8" s="15"/>
      <c r="I8" s="15"/>
      <c r="J8" s="2"/>
      <c r="K8" s="2"/>
    </row>
    <row r="9" spans="1:11" x14ac:dyDescent="0.25">
      <c r="A9" s="15"/>
      <c r="B9" s="15"/>
      <c r="C9" s="15"/>
      <c r="D9" s="15"/>
      <c r="E9" s="15"/>
      <c r="F9" s="15"/>
      <c r="G9" s="15"/>
      <c r="H9" s="15"/>
      <c r="I9" s="15"/>
      <c r="J9" s="2"/>
      <c r="K9" s="2"/>
    </row>
    <row r="10" spans="1:1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2"/>
      <c r="K10" s="2"/>
    </row>
    <row r="11" spans="1:11" ht="44.2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9</v>
      </c>
      <c r="B14" s="2"/>
      <c r="C14" s="2"/>
      <c r="D14" s="2"/>
      <c r="E14" s="2" t="s">
        <v>10</v>
      </c>
      <c r="F14" s="2"/>
      <c r="G14" s="2"/>
      <c r="H14" s="2"/>
      <c r="I14" s="2"/>
      <c r="J14" s="2"/>
      <c r="K14" s="2"/>
    </row>
    <row r="15" spans="1:11" x14ac:dyDescent="0.25">
      <c r="A15" s="11">
        <v>46224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10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12</v>
      </c>
      <c r="B18" s="2"/>
      <c r="C18" s="2"/>
      <c r="D18" s="2"/>
      <c r="E18" s="2" t="s">
        <v>13</v>
      </c>
      <c r="F18" s="2"/>
      <c r="G18" s="2"/>
      <c r="H18" s="2"/>
      <c r="I18" s="2"/>
      <c r="J18" s="2"/>
      <c r="K18" s="2"/>
    </row>
    <row r="19" spans="1:11" x14ac:dyDescent="0.25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</sheetData>
  <mergeCells count="5">
    <mergeCell ref="B4:I4"/>
    <mergeCell ref="B5:I5"/>
    <mergeCell ref="A8:I11"/>
    <mergeCell ref="A1:K2"/>
    <mergeCell ref="B3:I3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Presnecova</dc:creator>
  <cp:lastModifiedBy>user2</cp:lastModifiedBy>
  <cp:lastPrinted>2026-07-24T06:45:06Z</cp:lastPrinted>
  <dcterms:created xsi:type="dcterms:W3CDTF">2026-06-09T09:34:55Z</dcterms:created>
  <dcterms:modified xsi:type="dcterms:W3CDTF">2026-07-24T07:48:56Z</dcterms:modified>
</cp:coreProperties>
</file>