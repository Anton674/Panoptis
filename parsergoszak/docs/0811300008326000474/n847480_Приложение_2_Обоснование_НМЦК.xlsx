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310-ЭА Бумага АпИК (СМП) (0)\310-ЭА Бумага АпИК (СМП)\"/>
    </mc:Choice>
  </mc:AlternateContent>
  <xr:revisionPtr revIDLastSave="0" documentId="13_ncr:1_{DFCE22F1-3AFB-49B0-B1D6-8C9642857C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НМЦК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6" l="1"/>
  <c r="J6" i="6" l="1"/>
  <c r="J7" i="6" s="1"/>
</calcChain>
</file>

<file path=xl/sharedStrings.xml><?xml version="1.0" encoding="utf-8"?>
<sst xmlns="http://schemas.openxmlformats.org/spreadsheetml/2006/main" count="21" uniqueCount="21">
  <si>
    <t>Ед. изм.</t>
  </si>
  <si>
    <t>ИТОГО:</t>
  </si>
  <si>
    <t>Приложение №2</t>
  </si>
  <si>
    <t>Обоснование начальной (максимальной) цены контракта</t>
  </si>
  <si>
    <t>Усредненная стоимость, руб.</t>
  </si>
  <si>
    <t>Средняя арифметическая величина цены за единицу, руб</t>
  </si>
  <si>
    <t>Кол-во (объем)</t>
  </si>
  <si>
    <t>Наименование товара, работы, услуги</t>
  </si>
  <si>
    <t>Ценовая информация от потенциальных поставщиков, руб.:</t>
  </si>
  <si>
    <t>Коэффициент вариации предложений</t>
  </si>
  <si>
    <t>№ п/п</t>
  </si>
  <si>
    <t>Работник контрактной службы/контрактный
управляющий:
____________________________________
(должность)
________________________/И.В.Вострова/
(подпись/расшифровка подписи)
Тел. 8(843) 299-15-20</t>
  </si>
  <si>
    <t xml:space="preserve"> </t>
  </si>
  <si>
    <t>Бумага для офисной техники</t>
  </si>
  <si>
    <t>пачка</t>
  </si>
  <si>
    <t>Используемый метод определения НМЦК с обоснованием: Метод сопоставимых рыночных цен (анализа рынка) согласно ч. 2 ст. 22 Федерального закона №44-ФЗ.
Дата составления: 16.07.2026 г.
Расчет НМЦК:
Предмет закупки: Поставка офисной бумаги</t>
  </si>
  <si>
    <t>Предложение 1 исх.№ б/н
от 16.07.2026 г.</t>
  </si>
  <si>
    <t>Предложение 2 исх.№ б/н
от 16.07.2026 г.</t>
  </si>
  <si>
    <t>Предложение 3 исх.№ б/н
от 16.07.2026 г.</t>
  </si>
  <si>
    <t>7,99</t>
  </si>
  <si>
    <t>Итоговый коэффициент вариации и коэффициенты вариации по каждой позиции менее 33 %, совокупность цен признается однородной.
Начальная (максимальная) цена контракта: 52 050,00 (Пятьдесят две тысячи пятьдесят) рублей 00 коп.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</si>
</sst>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4" fontId="2" fillId="0" borderId="0" xfId="0" applyNumberFormat="1" applyFont="1"/>
    <xf numFmtId="4" fontId="2" fillId="0" borderId="0" xfId="0" applyNumberFormat="1" applyFont="1" applyAlignment="1">
      <alignment horizontal="center"/>
    </xf>
    <xf numFmtId="4" fontId="1" fillId="0" borderId="1" xfId="0" applyNumberFormat="1" applyFont="1" applyBorder="1" applyAlignment="1">
      <alignment horizontal="center" vertical="top"/>
    </xf>
    <xf numFmtId="4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horizontal="center" vertical="top"/>
    </xf>
    <xf numFmtId="2" fontId="2" fillId="0" borderId="0" xfId="0" applyNumberFormat="1" applyFont="1"/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center"/>
    </xf>
    <xf numFmtId="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tabSelected="1" zoomScaleNormal="100" workbookViewId="0">
      <selection activeCell="B12" sqref="B12:B13"/>
    </sheetView>
  </sheetViews>
  <sheetFormatPr defaultColWidth="8.85546875" defaultRowHeight="12.75" x14ac:dyDescent="0.2"/>
  <cols>
    <col min="1" max="1" width="6.140625" style="10" customWidth="1"/>
    <col min="2" max="2" width="48" style="2" customWidth="1"/>
    <col min="3" max="3" width="12.42578125" style="2" customWidth="1"/>
    <col min="4" max="4" width="10.7109375" style="2" customWidth="1"/>
    <col min="5" max="6" width="15.5703125" style="3" customWidth="1"/>
    <col min="7" max="7" width="15.5703125" style="4" customWidth="1"/>
    <col min="8" max="8" width="15.7109375" style="2" customWidth="1"/>
    <col min="9" max="9" width="14.85546875" style="2" customWidth="1"/>
    <col min="10" max="10" width="14.42578125" style="3" customWidth="1"/>
    <col min="11" max="11" width="8.85546875" style="2" customWidth="1"/>
    <col min="12" max="16384" width="8.85546875" style="2"/>
  </cols>
  <sheetData>
    <row r="1" spans="1:10" x14ac:dyDescent="0.2">
      <c r="B1" s="2" t="s">
        <v>12</v>
      </c>
      <c r="I1" s="27" t="s">
        <v>2</v>
      </c>
      <c r="J1" s="27"/>
    </row>
    <row r="2" spans="1:10" ht="22.15" customHeight="1" x14ac:dyDescent="0.2">
      <c r="B2" s="19" t="s">
        <v>3</v>
      </c>
      <c r="C2" s="19"/>
      <c r="D2" s="19"/>
      <c r="E2" s="19"/>
      <c r="F2" s="19"/>
      <c r="G2" s="19"/>
      <c r="H2" s="19"/>
      <c r="I2" s="19"/>
      <c r="J2" s="19"/>
    </row>
    <row r="3" spans="1:10" ht="64.5" customHeight="1" x14ac:dyDescent="0.2">
      <c r="B3" s="20" t="s">
        <v>15</v>
      </c>
      <c r="C3" s="20"/>
      <c r="D3" s="20"/>
      <c r="E3" s="20"/>
      <c r="F3" s="20"/>
      <c r="G3" s="20"/>
      <c r="H3" s="20"/>
      <c r="I3" s="20"/>
      <c r="J3" s="20"/>
    </row>
    <row r="4" spans="1:10" ht="40.9" customHeight="1" x14ac:dyDescent="0.2">
      <c r="A4" s="24" t="s">
        <v>10</v>
      </c>
      <c r="B4" s="24" t="s">
        <v>7</v>
      </c>
      <c r="C4" s="17" t="s">
        <v>0</v>
      </c>
      <c r="D4" s="24" t="s">
        <v>6</v>
      </c>
      <c r="E4" s="24" t="s">
        <v>8</v>
      </c>
      <c r="F4" s="24"/>
      <c r="G4" s="24"/>
      <c r="H4" s="17" t="s">
        <v>5</v>
      </c>
      <c r="I4" s="17" t="s">
        <v>9</v>
      </c>
      <c r="J4" s="18" t="s">
        <v>4</v>
      </c>
    </row>
    <row r="5" spans="1:10" ht="37.5" customHeight="1" x14ac:dyDescent="0.2">
      <c r="A5" s="24"/>
      <c r="B5" s="24"/>
      <c r="C5" s="17"/>
      <c r="D5" s="24"/>
      <c r="E5" s="1" t="s">
        <v>16</v>
      </c>
      <c r="F5" s="1" t="s">
        <v>17</v>
      </c>
      <c r="G5" s="1" t="s">
        <v>18</v>
      </c>
      <c r="H5" s="17"/>
      <c r="I5" s="17"/>
      <c r="J5" s="18"/>
    </row>
    <row r="6" spans="1:10" ht="28.5" customHeight="1" x14ac:dyDescent="0.2">
      <c r="A6" s="13">
        <v>1</v>
      </c>
      <c r="B6" s="12" t="s">
        <v>13</v>
      </c>
      <c r="C6" s="14" t="s">
        <v>14</v>
      </c>
      <c r="D6" s="12">
        <v>150</v>
      </c>
      <c r="E6" s="11">
        <v>363</v>
      </c>
      <c r="F6" s="11">
        <v>315</v>
      </c>
      <c r="G6" s="11">
        <v>363</v>
      </c>
      <c r="H6" s="11">
        <f>(E6+F6+G6)/3</f>
        <v>347</v>
      </c>
      <c r="I6" s="15" t="s">
        <v>19</v>
      </c>
      <c r="J6" s="11">
        <f>H6*D6</f>
        <v>52050</v>
      </c>
    </row>
    <row r="7" spans="1:10" ht="13.5" customHeight="1" x14ac:dyDescent="0.2">
      <c r="A7" s="25" t="s">
        <v>1</v>
      </c>
      <c r="B7" s="26"/>
      <c r="C7" s="26"/>
      <c r="D7" s="26"/>
      <c r="E7" s="26"/>
      <c r="F7" s="26"/>
      <c r="G7" s="26"/>
      <c r="H7" s="26"/>
      <c r="I7" s="26"/>
      <c r="J7" s="5">
        <f>J6</f>
        <v>52050</v>
      </c>
    </row>
    <row r="8" spans="1:10" ht="39" customHeight="1" x14ac:dyDescent="0.2">
      <c r="A8" s="21" t="s">
        <v>20</v>
      </c>
      <c r="B8" s="22"/>
      <c r="C8" s="22"/>
      <c r="D8" s="22"/>
      <c r="E8" s="22"/>
      <c r="F8" s="22"/>
      <c r="G8" s="22"/>
      <c r="H8" s="22"/>
      <c r="I8" s="22"/>
      <c r="J8" s="23"/>
    </row>
    <row r="9" spans="1:10" ht="130.15" customHeight="1" x14ac:dyDescent="0.2">
      <c r="A9" s="16" t="s">
        <v>11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2">
      <c r="B10" s="9"/>
      <c r="E10" s="6"/>
      <c r="F10" s="6"/>
      <c r="H10" s="8"/>
      <c r="I10" s="8"/>
    </row>
    <row r="11" spans="1:10" x14ac:dyDescent="0.2">
      <c r="B11" s="9"/>
      <c r="E11" s="6"/>
      <c r="F11" s="6"/>
      <c r="G11" s="7"/>
      <c r="H11" s="8"/>
      <c r="I11" s="8"/>
    </row>
    <row r="12" spans="1:10" x14ac:dyDescent="0.2">
      <c r="B12" s="9"/>
      <c r="E12" s="6"/>
      <c r="F12" s="6"/>
      <c r="G12" s="7"/>
    </row>
    <row r="13" spans="1:10" x14ac:dyDescent="0.2">
      <c r="B13" s="9"/>
      <c r="E13" s="6"/>
      <c r="F13" s="6"/>
      <c r="G13" s="7"/>
    </row>
    <row r="14" spans="1:10" x14ac:dyDescent="0.2">
      <c r="B14" s="9"/>
      <c r="E14" s="6"/>
      <c r="F14" s="6"/>
      <c r="G14" s="7"/>
    </row>
    <row r="15" spans="1:10" x14ac:dyDescent="0.2">
      <c r="B15" s="9"/>
      <c r="E15" s="6"/>
      <c r="F15" s="6"/>
      <c r="G15" s="7"/>
    </row>
    <row r="16" spans="1:10" x14ac:dyDescent="0.2">
      <c r="B16" s="9"/>
      <c r="E16" s="6"/>
      <c r="F16" s="6"/>
      <c r="G16" s="7"/>
    </row>
    <row r="17" spans="2:2" x14ac:dyDescent="0.2">
      <c r="B17" s="9"/>
    </row>
  </sheetData>
  <mergeCells count="14">
    <mergeCell ref="A9:J9"/>
    <mergeCell ref="I4:I5"/>
    <mergeCell ref="J4:J5"/>
    <mergeCell ref="I1:J1"/>
    <mergeCell ref="B2:J2"/>
    <mergeCell ref="B3:J3"/>
    <mergeCell ref="A8:J8"/>
    <mergeCell ref="A4:A5"/>
    <mergeCell ref="B4:B5"/>
    <mergeCell ref="C4:C5"/>
    <mergeCell ref="D4:D5"/>
    <mergeCell ref="E4:G4"/>
    <mergeCell ref="H4:H5"/>
    <mergeCell ref="A7:I7"/>
  </mergeCells>
  <pageMargins left="0.23622047244094491" right="0.23622047244094491" top="0" bottom="0" header="0.31496062992125984" footer="0.31496062992125984"/>
  <pageSetup paperSize="9"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НМЦК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</dc:creator>
  <cp:lastModifiedBy>user</cp:lastModifiedBy>
  <cp:lastPrinted>2023-02-06T13:03:52Z</cp:lastPrinted>
  <dcterms:created xsi:type="dcterms:W3CDTF">2014-11-14T09:18:45Z</dcterms:created>
  <dcterms:modified xsi:type="dcterms:W3CDTF">2026-07-24T04:50:15Z</dcterms:modified>
</cp:coreProperties>
</file>