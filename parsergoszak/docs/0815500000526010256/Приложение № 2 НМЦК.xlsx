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TARIF\TENDER\Антонова Н.В\муницип\МАРПОСАД\2026\бумаги для офисной техники\"/>
    </mc:Choice>
  </mc:AlternateContent>
  <xr:revisionPtr revIDLastSave="0" documentId="8_{BDE5AA44-90FC-4548-B667-57178268B25B}" xr6:coauthVersionLast="47" xr6:coauthVersionMax="47" xr10:uidLastSave="{00000000-0000-0000-0000-000000000000}"/>
  <bookViews>
    <workbookView xWindow="-120" yWindow="-120" windowWidth="29040" windowHeight="15840" xr2:uid="{7BEC6F0C-7E1B-4A84-8743-41B0CE2434C5}"/>
  </bookViews>
  <sheets>
    <sheet name="Расчет цены" sheetId="2" r:id="rId1"/>
  </sheets>
  <calcPr calcId="191029"/>
</workbook>
</file>

<file path=xl/calcChain.xml><?xml version="1.0" encoding="utf-8"?>
<calcChain xmlns="http://schemas.openxmlformats.org/spreadsheetml/2006/main">
  <c r="I7" i="2" l="1"/>
  <c r="L7" i="2"/>
  <c r="J7" i="2"/>
  <c r="K7" i="2"/>
</calcChain>
</file>

<file path=xl/sharedStrings.xml><?xml version="1.0" encoding="utf-8"?>
<sst xmlns="http://schemas.openxmlformats.org/spreadsheetml/2006/main" count="28" uniqueCount="28">
  <si>
    <t>№</t>
  </si>
  <si>
    <t>Ед. изм</t>
  </si>
  <si>
    <t>Среднее квадратичное отклонение</t>
  </si>
  <si>
    <t xml:space="preserve">Средняя арифметическая цена за единицу     &lt;ц&gt; </t>
  </si>
  <si>
    <t>Основные характеристики объекта закупки</t>
  </si>
  <si>
    <t xml:space="preserve">Используемый метод определения НМЦК 
с обоснованием:
</t>
  </si>
  <si>
    <t>Наименование товара</t>
  </si>
  <si>
    <r>
      <t xml:space="preserve">Коэффициент вариации цен V (%)           </t>
    </r>
    <r>
      <rPr>
        <i/>
        <sz val="12"/>
        <color indexed="8"/>
        <rFont val="Times New Roman"/>
        <family val="1"/>
        <charset val="204"/>
      </rPr>
      <t xml:space="preserve">         (не должен превышать 33%)</t>
    </r>
  </si>
  <si>
    <r>
      <rPr>
        <b/>
        <sz val="12"/>
        <color indexed="8"/>
        <rFont val="Times New Roman"/>
        <family val="1"/>
        <charset val="204"/>
      </rPr>
      <t>Расчет Н(М)ЦК по формуле</t>
    </r>
    <r>
      <rPr>
        <sz val="10"/>
        <color indexed="8"/>
        <rFont val="Times New Roman"/>
        <family val="1"/>
        <charset val="204"/>
      </rPr>
      <t xml:space="preserve">                             v - количество (объем) закупаемого товара (работы, услуги);
n - количество значений, используемых в расчете;
i - номер источника ценовой информации;
     - цена единицы</t>
    </r>
  </si>
  <si>
    <t>Однородность совокупности значений выявленных цен, используемых в расчете Н(М)ЦК</t>
  </si>
  <si>
    <t>Н(М)ЦК, определяемая методом сопоставимых рыночных цен (анализа рынка)*</t>
  </si>
  <si>
    <t>Коммерческие предложения Исполнителей</t>
  </si>
  <si>
    <t xml:space="preserve">администрации Мариинско-Посадского муниципального округа Чувашской Республики </t>
  </si>
  <si>
    <t>Метод сопоставимых рыночных цен (анализ рынка).Для расчета начальной (максимальной) цены контракта были направлены запросы о предоставлении ценовой информации потенциальным поставщикам.</t>
  </si>
  <si>
    <t>пачка</t>
  </si>
  <si>
    <t>https://zakupki.gov.ru/epz/contract/contractCard/payment-info-and-target-of-order.html?reestrNumber=2590705348326000038&amp;contractInfoId=108543543</t>
  </si>
  <si>
    <t>https://zakupki.gov.ru/epz/contract/contractCard/payment-info-and-target-of-order.html?reestrNumber=2526034617626000040&amp;contractInfoId=109372558</t>
  </si>
  <si>
    <t>https://zakupki.gov.ru/epz/contract/contractCard/payment-info-and-target-of-order.html?reestrNumber=2644200369726000100&amp;contractInfoId=108992554</t>
  </si>
  <si>
    <t>Бумага для офисной техники</t>
  </si>
  <si>
    <t xml:space="preserve">В результате проведенного расчета на бумагу для офисной техники начальная (максимальная) цена контракта составляет: </t>
  </si>
  <si>
    <t>Обоснование начальной (максимальной) цены контракта
Поставка бумаги для офисной техники</t>
  </si>
  <si>
    <t>Основные характеристики работ- в соответствии с описанием объекта закупки.
Поставка бумаги для офисной техники</t>
  </si>
  <si>
    <t>УТВЕРЖДАЮ:
И.о. первого заместителя главы Администрации Мариинско-Посадского муниципального
 округа-начальника Управления по благоустройству
  и развитию территорий                                                                                    
____________________А.В. Григорьев
 "____"_________________2026 г.
 М.П.</t>
  </si>
  <si>
    <t>Количество штук</t>
  </si>
  <si>
    <t>Начальник отдела ЖКХ УБИРТ</t>
  </si>
  <si>
    <t>Л.А. Шалахманова</t>
  </si>
  <si>
    <r>
      <rPr>
        <b/>
        <sz val="12"/>
        <color indexed="8"/>
        <rFont val="Times New Roman"/>
        <family val="1"/>
        <charset val="204"/>
      </rPr>
      <t>160000,00</t>
    </r>
    <r>
      <rPr>
        <sz val="12"/>
        <color indexed="8"/>
        <rFont val="Times New Roman"/>
        <family val="1"/>
        <charset val="204"/>
      </rPr>
      <t xml:space="preserve"> (Сто шестьдесят тысяч ) рублей 00 копеек.
 Дата подготовки обоснования НМЦК: 17.07.2026 г.</t>
    </r>
  </si>
  <si>
    <t>Приложение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</si>
</sst>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9" formatCode="0.0000000"/>
    <numFmt numFmtId="193" formatCode="#,##0.00_ ;\-#,##0.00\ "/>
  </numFmts>
  <fonts count="9" x14ac:knownFonts="1">
    <font>
      <sz val="11"/>
      <color theme="1"/>
      <name val="Calibri"/>
      <family val="2"/>
      <charset val="204"/>
      <scheme val="minor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i/>
      <sz val="12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u/>
      <sz val="11"/>
      <color theme="1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4" fillId="0" borderId="0" xfId="0" applyFont="1" applyAlignment="1">
      <alignment horizontal="center" vertical="top"/>
    </xf>
    <xf numFmtId="0" fontId="4" fillId="0" borderId="0" xfId="0" applyFont="1"/>
    <xf numFmtId="2" fontId="2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5" fillId="0" borderId="2" xfId="0" applyFont="1" applyBorder="1" applyAlignment="1"/>
    <xf numFmtId="0" fontId="1" fillId="0" borderId="1" xfId="0" applyFont="1" applyBorder="1" applyAlignment="1">
      <alignment vertical="top" wrapText="1"/>
    </xf>
    <xf numFmtId="0" fontId="5" fillId="0" borderId="0" xfId="0" applyFont="1"/>
    <xf numFmtId="0" fontId="1" fillId="0" borderId="0" xfId="0" applyFont="1"/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89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93" fontId="5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wrapText="1"/>
    </xf>
    <xf numFmtId="0" fontId="8" fillId="0" borderId="0" xfId="1" applyAlignment="1" applyProtection="1">
      <alignment horizontal="left" textRotation="90" wrapText="1"/>
    </xf>
    <xf numFmtId="0" fontId="8" fillId="0" borderId="5" xfId="1" applyBorder="1" applyAlignment="1" applyProtection="1">
      <alignment horizontal="left" textRotation="90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5" fillId="0" borderId="10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4" Type="http://schemas.openxmlformats.org/officeDocument/2006/relationships/image" Target="../media/image4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5</xdr:row>
      <xdr:rowOff>1285875</xdr:rowOff>
    </xdr:from>
    <xdr:to>
      <xdr:col>11</xdr:col>
      <xdr:colOff>0</xdr:colOff>
      <xdr:row>5</xdr:row>
      <xdr:rowOff>1638300</xdr:rowOff>
    </xdr:to>
    <xdr:pic>
      <xdr:nvPicPr>
        <xdr:cNvPr id="3569" name="Picture 1">
          <a:extLst>
            <a:ext uri="{FF2B5EF4-FFF2-40B4-BE49-F238E27FC236}">
              <a16:creationId xmlns:a16="http://schemas.microsoft.com/office/drawing/2014/main" id="{709088A7-EA9B-058C-438A-6A5888FFC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9725" y="6800850"/>
          <a:ext cx="11715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19050</xdr:colOff>
      <xdr:row>5</xdr:row>
      <xdr:rowOff>923925</xdr:rowOff>
    </xdr:from>
    <xdr:to>
      <xdr:col>9</xdr:col>
      <xdr:colOff>1019175</xdr:colOff>
      <xdr:row>5</xdr:row>
      <xdr:rowOff>1362075</xdr:rowOff>
    </xdr:to>
    <xdr:pic>
      <xdr:nvPicPr>
        <xdr:cNvPr id="3570" name="Picture 2">
          <a:extLst>
            <a:ext uri="{FF2B5EF4-FFF2-40B4-BE49-F238E27FC236}">
              <a16:creationId xmlns:a16="http://schemas.microsoft.com/office/drawing/2014/main" id="{E3C64652-26A6-29A0-0F47-811B52FB1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6438900"/>
          <a:ext cx="10001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66675</xdr:colOff>
      <xdr:row>5</xdr:row>
      <xdr:rowOff>1809750</xdr:rowOff>
    </xdr:from>
    <xdr:to>
      <xdr:col>12</xdr:col>
      <xdr:colOff>0</xdr:colOff>
      <xdr:row>6</xdr:row>
      <xdr:rowOff>19050</xdr:rowOff>
    </xdr:to>
    <xdr:pic>
      <xdr:nvPicPr>
        <xdr:cNvPr id="3571" name="Picture 5">
          <a:extLst>
            <a:ext uri="{FF2B5EF4-FFF2-40B4-BE49-F238E27FC236}">
              <a16:creationId xmlns:a16="http://schemas.microsoft.com/office/drawing/2014/main" id="{E9A53AE9-C796-CCA3-4A61-9B5F582BD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7975" y="7324725"/>
          <a:ext cx="152400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66675</xdr:colOff>
      <xdr:row>5</xdr:row>
      <xdr:rowOff>1495425</xdr:rowOff>
    </xdr:from>
    <xdr:to>
      <xdr:col>11</xdr:col>
      <xdr:colOff>219075</xdr:colOff>
      <xdr:row>5</xdr:row>
      <xdr:rowOff>1724025</xdr:rowOff>
    </xdr:to>
    <xdr:pic>
      <xdr:nvPicPr>
        <xdr:cNvPr id="3572" name="Picture 6">
          <a:extLst>
            <a:ext uri="{FF2B5EF4-FFF2-40B4-BE49-F238E27FC236}">
              <a16:creationId xmlns:a16="http://schemas.microsoft.com/office/drawing/2014/main" id="{4175377A-28E7-D149-4F0B-1B96B83BF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7975" y="7010400"/>
          <a:ext cx="152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66675</xdr:colOff>
      <xdr:row>5</xdr:row>
      <xdr:rowOff>1809750</xdr:rowOff>
    </xdr:from>
    <xdr:to>
      <xdr:col>12</xdr:col>
      <xdr:colOff>0</xdr:colOff>
      <xdr:row>6</xdr:row>
      <xdr:rowOff>19050</xdr:rowOff>
    </xdr:to>
    <xdr:pic>
      <xdr:nvPicPr>
        <xdr:cNvPr id="3573" name="Picture 5">
          <a:extLst>
            <a:ext uri="{FF2B5EF4-FFF2-40B4-BE49-F238E27FC236}">
              <a16:creationId xmlns:a16="http://schemas.microsoft.com/office/drawing/2014/main" id="{88175B93-6B21-F31D-516C-874EE64B5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7975" y="7324725"/>
          <a:ext cx="152400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zakupki.gov.ru/epz/contract/contractCard/payment-info-and-target-of-order.html?reestrNumber=2526034617626000040&amp;contractInfoId=109372558" TargetMode="External"/><Relationship Id="rId2" Type="http://schemas.openxmlformats.org/officeDocument/2006/relationships/hyperlink" Target="https://zakupki.gov.ru/epz/contract/contractCard/payment-info-and-target-of-order.html?reestrNumber=2644200369726000100&amp;contractInfoId=108992554" TargetMode="External"/><Relationship Id="rId1" Type="http://schemas.openxmlformats.org/officeDocument/2006/relationships/hyperlink" Target="https://zakupki.gov.ru/epz/contract/contractCard/payment-info-and-target-of-order.html?reestrNumber=2590705348326000038&amp;contractInfoId=108543543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F134-E674-49BF-B9B4-A10C86C141F6}">
  <sheetPr>
    <pageSetUpPr fitToPage="1"/>
  </sheetPr>
  <dimension ref="A1:L18"/>
  <sheetViews>
    <sheetView tabSelected="1" workbookViewId="0">
      <selection activeCell="B1" sqref="B1"/>
    </sheetView>
  </sheetViews>
  <sheetFormatPr defaultRowHeight="12.75" x14ac:dyDescent="0.2"/>
  <cols>
    <col min="1" max="1" width="3.140625" style="2" customWidth="1"/>
    <col min="2" max="2" width="28.42578125" style="2" customWidth="1"/>
    <col min="3" max="3" width="21" style="2" customWidth="1"/>
    <col min="4" max="4" width="11.140625" style="2" customWidth="1"/>
    <col min="5" max="5" width="9.85546875" style="2" customWidth="1"/>
    <col min="6" max="6" width="11.5703125" style="2" customWidth="1"/>
    <col min="7" max="8" width="11" style="2" customWidth="1"/>
    <col min="9" max="9" width="15.5703125" style="2" customWidth="1"/>
    <col min="10" max="10" width="15.42578125" style="2" customWidth="1"/>
    <col min="11" max="11" width="17.85546875" style="2" customWidth="1"/>
    <col min="12" max="12" width="23.85546875" style="2" customWidth="1"/>
    <col min="13" max="16384" width="9.140625" style="2"/>
  </cols>
  <sheetData>
    <row r="1" spans="1:12" ht="149.25" customHeight="1" x14ac:dyDescent="0.25">
      <c r="B1" s="10" t="s">
        <v>27</v>
      </c>
      <c r="J1" s="27" t="s">
        <v>22</v>
      </c>
      <c r="K1" s="36"/>
      <c r="L1" s="36"/>
    </row>
    <row r="2" spans="1:12" ht="61.5" customHeight="1" x14ac:dyDescent="0.2">
      <c r="A2" s="40" t="s">
        <v>20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2" ht="87" customHeight="1" x14ac:dyDescent="0.2">
      <c r="A3" s="37" t="s">
        <v>4</v>
      </c>
      <c r="B3" s="25"/>
      <c r="C3" s="25"/>
      <c r="D3" s="25"/>
      <c r="E3" s="25"/>
      <c r="F3" s="25"/>
      <c r="G3" s="26"/>
      <c r="H3" s="11"/>
      <c r="I3" s="25" t="s">
        <v>21</v>
      </c>
      <c r="J3" s="25"/>
      <c r="K3" s="25"/>
      <c r="L3" s="26"/>
    </row>
    <row r="4" spans="1:12" ht="72.75" customHeight="1" x14ac:dyDescent="0.2">
      <c r="A4" s="37" t="s">
        <v>5</v>
      </c>
      <c r="B4" s="25"/>
      <c r="C4" s="25"/>
      <c r="D4" s="25"/>
      <c r="E4" s="25"/>
      <c r="F4" s="25"/>
      <c r="G4" s="26"/>
      <c r="H4" s="11"/>
      <c r="I4" s="25" t="s">
        <v>13</v>
      </c>
      <c r="J4" s="25"/>
      <c r="K4" s="25"/>
      <c r="L4" s="26"/>
    </row>
    <row r="5" spans="1:12" ht="63.75" customHeight="1" x14ac:dyDescent="0.2">
      <c r="A5" s="21" t="s">
        <v>0</v>
      </c>
      <c r="B5" s="29" t="s">
        <v>6</v>
      </c>
      <c r="C5" s="30"/>
      <c r="D5" s="22" t="s">
        <v>1</v>
      </c>
      <c r="E5" s="22" t="s">
        <v>23</v>
      </c>
      <c r="F5" s="38" t="s">
        <v>11</v>
      </c>
      <c r="G5" s="39"/>
      <c r="H5" s="39"/>
      <c r="I5" s="24" t="s">
        <v>9</v>
      </c>
      <c r="J5" s="24"/>
      <c r="K5" s="24"/>
      <c r="L5" s="5" t="s">
        <v>10</v>
      </c>
    </row>
    <row r="6" spans="1:12" ht="169.5" customHeight="1" x14ac:dyDescent="0.2">
      <c r="A6" s="22"/>
      <c r="B6" s="31"/>
      <c r="C6" s="32"/>
      <c r="D6" s="35"/>
      <c r="E6" s="23"/>
      <c r="F6" s="17" t="s">
        <v>15</v>
      </c>
      <c r="G6" s="18" t="s">
        <v>16</v>
      </c>
      <c r="H6" s="18" t="s">
        <v>17</v>
      </c>
      <c r="I6" s="5" t="s">
        <v>3</v>
      </c>
      <c r="J6" s="5" t="s">
        <v>2</v>
      </c>
      <c r="K6" s="6" t="s">
        <v>7</v>
      </c>
      <c r="L6" s="8" t="s">
        <v>8</v>
      </c>
    </row>
    <row r="7" spans="1:12" s="1" customFormat="1" ht="96" customHeight="1" x14ac:dyDescent="0.25">
      <c r="A7" s="4">
        <v>1</v>
      </c>
      <c r="B7" s="33" t="s">
        <v>18</v>
      </c>
      <c r="C7" s="34"/>
      <c r="D7" s="12" t="s">
        <v>14</v>
      </c>
      <c r="E7" s="14">
        <v>500</v>
      </c>
      <c r="F7" s="19">
        <v>340</v>
      </c>
      <c r="G7" s="20">
        <v>305</v>
      </c>
      <c r="H7" s="20">
        <v>315</v>
      </c>
      <c r="I7" s="15">
        <f>AVERAGE(F7:H7)</f>
        <v>320</v>
      </c>
      <c r="J7" s="4">
        <f>STDEV(F7:H7)</f>
        <v>18.027756377319946</v>
      </c>
      <c r="K7" s="13">
        <f>J7/I7*100</f>
        <v>5.6336738679124831</v>
      </c>
      <c r="L7" s="16">
        <f>ROUND(I7,2)*E7</f>
        <v>160000</v>
      </c>
    </row>
    <row r="8" spans="1:12" ht="22.5" customHeight="1" x14ac:dyDescent="0.25">
      <c r="A8" s="7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3"/>
    </row>
    <row r="9" spans="1:12" ht="35.25" customHeight="1" x14ac:dyDescent="0.25">
      <c r="A9" s="27" t="s">
        <v>26</v>
      </c>
      <c r="B9" s="28"/>
      <c r="C9" s="28"/>
      <c r="D9" s="28"/>
      <c r="E9" s="28"/>
      <c r="F9" s="28"/>
      <c r="G9" s="28"/>
      <c r="H9" s="28"/>
      <c r="I9" s="28"/>
      <c r="J9" s="28"/>
      <c r="K9" s="28"/>
    </row>
    <row r="10" spans="1:12" ht="15.75" x14ac:dyDescent="0.2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9"/>
    </row>
    <row r="11" spans="1:12" ht="15.75" x14ac:dyDescent="0.25">
      <c r="B11" s="9" t="s">
        <v>24</v>
      </c>
      <c r="C11" s="9"/>
      <c r="D11" s="9"/>
      <c r="E11" s="9"/>
      <c r="F11" s="9"/>
      <c r="G11" s="9"/>
      <c r="H11" s="9"/>
      <c r="I11" s="9"/>
    </row>
    <row r="12" spans="1:12" ht="15.75" x14ac:dyDescent="0.25">
      <c r="B12" s="9" t="s">
        <v>12</v>
      </c>
      <c r="C12" s="9"/>
      <c r="D12" s="9"/>
      <c r="E12" s="9"/>
      <c r="F12" s="9"/>
      <c r="G12" s="9"/>
      <c r="H12" s="9"/>
      <c r="I12" s="9"/>
      <c r="K12" s="9"/>
      <c r="L12" s="9" t="s">
        <v>25</v>
      </c>
    </row>
    <row r="13" spans="1:12" x14ac:dyDescent="0.2">
      <c r="B13" s="10"/>
    </row>
    <row r="14" spans="1:12" ht="15.75" x14ac:dyDescent="0.25">
      <c r="B14" s="10"/>
      <c r="C14" s="9"/>
      <c r="D14" s="9"/>
      <c r="E14" s="9"/>
      <c r="F14" s="9"/>
      <c r="G14" s="9"/>
      <c r="H14" s="9"/>
      <c r="I14" s="9"/>
    </row>
    <row r="15" spans="1:12" ht="15.75" x14ac:dyDescent="0.25">
      <c r="B15" s="9"/>
    </row>
    <row r="16" spans="1:12" x14ac:dyDescent="0.2">
      <c r="B16" s="10"/>
    </row>
    <row r="17" spans="2:9" ht="15.75" x14ac:dyDescent="0.25">
      <c r="B17" s="9"/>
      <c r="C17" s="9"/>
      <c r="D17" s="9"/>
      <c r="E17" s="9"/>
      <c r="F17" s="9"/>
      <c r="G17" s="9"/>
      <c r="H17" s="9"/>
      <c r="I17" s="9"/>
    </row>
    <row r="18" spans="2:9" ht="15.75" x14ac:dyDescent="0.25">
      <c r="B18" s="10"/>
      <c r="C18" s="9"/>
      <c r="D18" s="9"/>
      <c r="E18" s="9"/>
      <c r="F18" s="9"/>
      <c r="G18" s="9"/>
      <c r="H18" s="9"/>
      <c r="I18" s="9"/>
    </row>
  </sheetData>
  <mergeCells count="15">
    <mergeCell ref="A10:K10"/>
    <mergeCell ref="B5:C6"/>
    <mergeCell ref="B7:C7"/>
    <mergeCell ref="D5:D6"/>
    <mergeCell ref="J1:L1"/>
    <mergeCell ref="A3:G3"/>
    <mergeCell ref="A4:G4"/>
    <mergeCell ref="F5:H5"/>
    <mergeCell ref="A2:L2"/>
    <mergeCell ref="A5:A6"/>
    <mergeCell ref="E5:E6"/>
    <mergeCell ref="I5:K5"/>
    <mergeCell ref="I3:L3"/>
    <mergeCell ref="I4:L4"/>
    <mergeCell ref="A9:K9"/>
  </mergeCells>
  <phoneticPr fontId="0" type="noConversion"/>
  <hyperlinks>
    <hyperlink ref="F6" r:id="rId1" xr:uid="{C477D21C-27C6-4E35-9903-C9B4CEFA4810}"/>
    <hyperlink ref="H6" r:id="rId2" xr:uid="{95B1AC5D-0356-49C4-B9D0-702FB4BC74B8}"/>
    <hyperlink ref="G6" r:id="rId3" xr:uid="{4FB05BCB-9657-4CD4-BE93-C328A2C5E561}"/>
  </hyperlinks>
  <pageMargins left="0.70866141732283472" right="0.70866141732283472" top="0.39370078740157483" bottom="0.39370078740157483" header="0.31496062992125984" footer="0.31496062992125984"/>
  <pageSetup paperSize="9" scale="69" fitToHeight="2" orientation="landscape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Расчет цены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</dc:creator>
  <cp:lastModifiedBy>rcz36</cp:lastModifiedBy>
  <cp:lastPrinted>2026-07-17T09:11:23Z</cp:lastPrinted>
  <dcterms:created xsi:type="dcterms:W3CDTF">2014-01-15T18:15:09Z</dcterms:created>
  <dcterms:modified xsi:type="dcterms:W3CDTF">2026-07-24T08:13:24Z</dcterms:modified>
</cp:coreProperties>
</file>